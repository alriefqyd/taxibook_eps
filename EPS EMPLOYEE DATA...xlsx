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ject\taxibook-app\"/>
    </mc:Choice>
  </mc:AlternateContent>
  <xr:revisionPtr revIDLastSave="0" documentId="13_ncr:1_{1DF4FC2F-E07C-4C3F-BD1E-C3DDB25056CA}" xr6:coauthVersionLast="47" xr6:coauthVersionMax="47" xr10:uidLastSave="{00000000-0000-0000-0000-000000000000}"/>
  <bookViews>
    <workbookView xWindow="-75" yWindow="-18120" windowWidth="29040" windowHeight="17520" tabRatio="466" xr2:uid="{00000000-000D-0000-FFFF-FFFF00000000}"/>
  </bookViews>
  <sheets>
    <sheet name="Master" sheetId="1" r:id="rId1"/>
    <sheet name="Sheet1" sheetId="2" state="hidden" r:id="rId2"/>
  </sheets>
  <calcPr calcId="181029"/>
</workbook>
</file>

<file path=xl/calcChain.xml><?xml version="1.0" encoding="utf-8"?>
<calcChain xmlns="http://schemas.openxmlformats.org/spreadsheetml/2006/main">
  <c r="S3" i="2" l="1"/>
  <c r="R3" i="2"/>
  <c r="Q3" i="2"/>
  <c r="S2" i="2"/>
  <c r="R2" i="2"/>
  <c r="Q2" i="2"/>
  <c r="S1" i="2"/>
  <c r="R1" i="2"/>
  <c r="Q1" i="2"/>
  <c r="B1" i="1"/>
</calcChain>
</file>

<file path=xl/sharedStrings.xml><?xml version="1.0" encoding="utf-8"?>
<sst xmlns="http://schemas.openxmlformats.org/spreadsheetml/2006/main" count="777" uniqueCount="556">
  <si>
    <t>Timestamp</t>
  </si>
  <si>
    <t>Nama Karyawan</t>
  </si>
  <si>
    <t>Badge Number</t>
  </si>
  <si>
    <t>Posisi/Jabatan</t>
  </si>
  <si>
    <t xml:space="preserve">Section </t>
  </si>
  <si>
    <t>Email Vale</t>
  </si>
  <si>
    <t>Password</t>
  </si>
  <si>
    <t>Nisa Amalia Samad</t>
  </si>
  <si>
    <t>C035567</t>
  </si>
  <si>
    <t>Project Controller</t>
  </si>
  <si>
    <t>PS</t>
  </si>
  <si>
    <t>c0670579@vale.com</t>
  </si>
  <si>
    <t>C035567@123</t>
  </si>
  <si>
    <t>Nurul Shafira S Harun</t>
  </si>
  <si>
    <t>Jr. Civil Engineer</t>
  </si>
  <si>
    <t>MC</t>
  </si>
  <si>
    <t>nurul.harun@vale.com</t>
  </si>
  <si>
    <t>81047947@123</t>
  </si>
  <si>
    <t>Christian Yohanis</t>
  </si>
  <si>
    <t>Electrical Engineer</t>
  </si>
  <si>
    <t>EI</t>
  </si>
  <si>
    <t>Yohanis.Christian@vale.com</t>
  </si>
  <si>
    <t>8850@123</t>
  </si>
  <si>
    <t>Fitriani Agus</t>
  </si>
  <si>
    <t>Project Officer</t>
  </si>
  <si>
    <t>Fitriani.agus@vale.com</t>
  </si>
  <si>
    <t>10438@123</t>
  </si>
  <si>
    <t>Melda Bokko</t>
  </si>
  <si>
    <t>Designer E/I</t>
  </si>
  <si>
    <t>melda.bokko1@vale.com</t>
  </si>
  <si>
    <t>81045323@123</t>
  </si>
  <si>
    <t>Ibnu Ma’rifat Sarqawi</t>
  </si>
  <si>
    <t>C031596</t>
  </si>
  <si>
    <t>c0678809@vale.com</t>
  </si>
  <si>
    <t>C031596@123</t>
  </si>
  <si>
    <t>Davidson Tungka</t>
  </si>
  <si>
    <t>Coordinator Equiment Rigging</t>
  </si>
  <si>
    <t>CPE</t>
  </si>
  <si>
    <t>davidson.tungka@vale.com</t>
  </si>
  <si>
    <t>7977@123</t>
  </si>
  <si>
    <t>Indri Kasuko</t>
  </si>
  <si>
    <t>Coord, EI Designer</t>
  </si>
  <si>
    <t>Indri.Kasuko@vale.com</t>
  </si>
  <si>
    <t>6201@123</t>
  </si>
  <si>
    <t>Ryvani Rasyid</t>
  </si>
  <si>
    <t>C036463</t>
  </si>
  <si>
    <t>Admin Project</t>
  </si>
  <si>
    <t>C0647422@vale.com</t>
  </si>
  <si>
    <t>C036463@123</t>
  </si>
  <si>
    <t>Muh Rafi Naswan</t>
  </si>
  <si>
    <t>Jr. Mechanical Engineer</t>
  </si>
  <si>
    <t>muh.rafi.naswan@vale.com</t>
  </si>
  <si>
    <t>81047948@123</t>
  </si>
  <si>
    <t>Aslam Arsal</t>
  </si>
  <si>
    <t>aslam.arsal@vale.com</t>
  </si>
  <si>
    <t>81043495@123</t>
  </si>
  <si>
    <t>Muhajir</t>
  </si>
  <si>
    <t>Desainer M/C</t>
  </si>
  <si>
    <t>muhajir1@vale.com</t>
  </si>
  <si>
    <t>11489@123</t>
  </si>
  <si>
    <t>Pither Pangden Rukka</t>
  </si>
  <si>
    <t>Coord, MC Designer</t>
  </si>
  <si>
    <t>Pither.Rukka@vale.com</t>
  </si>
  <si>
    <t>6962@123</t>
  </si>
  <si>
    <t>Muh. Ali Husyain. A</t>
  </si>
  <si>
    <t>Muh.Ali.Husyain@vale.com</t>
  </si>
  <si>
    <t>81043366@123</t>
  </si>
  <si>
    <t>Al Riefqy Dasmito</t>
  </si>
  <si>
    <t>C036197</t>
  </si>
  <si>
    <t>IT Engineer</t>
  </si>
  <si>
    <t>c0661472@vale.con</t>
  </si>
  <si>
    <t>C036197@123</t>
  </si>
  <si>
    <t xml:space="preserve">Dwi Purnama Putri </t>
  </si>
  <si>
    <t>C039367</t>
  </si>
  <si>
    <t xml:space="preserve">Jr. Architect Engineer </t>
  </si>
  <si>
    <t>C0663768@vale.com</t>
  </si>
  <si>
    <t>C039367@123</t>
  </si>
  <si>
    <t xml:space="preserve">Asrul M. </t>
  </si>
  <si>
    <t>asrulm@vale.com</t>
  </si>
  <si>
    <t>81048629@123</t>
  </si>
  <si>
    <t>Agus Wahyuno</t>
  </si>
  <si>
    <t>C005908</t>
  </si>
  <si>
    <t>agus.wahyuno@vale.com</t>
  </si>
  <si>
    <t>C005908@123</t>
  </si>
  <si>
    <t>Achiruddin</t>
  </si>
  <si>
    <t>QC &amp; Improvement coord</t>
  </si>
  <si>
    <t>Achiruddin.achmady@vale.com</t>
  </si>
  <si>
    <t>8357@123</t>
  </si>
  <si>
    <t>Victor Mak Tandi</t>
  </si>
  <si>
    <t>Supervisor Mechanical Civil</t>
  </si>
  <si>
    <t>victormak.tandi@vale.com</t>
  </si>
  <si>
    <t>10556@123</t>
  </si>
  <si>
    <t>Thari Novianty Mentaruk</t>
  </si>
  <si>
    <t>Construction Electrical Instrument Planner</t>
  </si>
  <si>
    <t>thari.mentaruk@vale.com</t>
  </si>
  <si>
    <t>11267@123</t>
  </si>
  <si>
    <t>Agus Salim</t>
  </si>
  <si>
    <t>Agus.Salimpom@vale.com</t>
  </si>
  <si>
    <t>10259@123</t>
  </si>
  <si>
    <t>Muslim</t>
  </si>
  <si>
    <t>Project Analyst</t>
  </si>
  <si>
    <t>muslim@vale.com</t>
  </si>
  <si>
    <t>8173@123</t>
  </si>
  <si>
    <t>Rahmat Hamzah</t>
  </si>
  <si>
    <t>Material Coordinator</t>
  </si>
  <si>
    <t>Rahmat.Hamzah@vale.com</t>
  </si>
  <si>
    <t>10058@123</t>
  </si>
  <si>
    <t>Elisabeth Ema Ona Ndera</t>
  </si>
  <si>
    <t>C011710</t>
  </si>
  <si>
    <t>C0630888@vale.com</t>
  </si>
  <si>
    <t>C011710@123</t>
  </si>
  <si>
    <t>Haswindasasmi Jamuddin</t>
  </si>
  <si>
    <t>C023174</t>
  </si>
  <si>
    <t>Document Control</t>
  </si>
  <si>
    <t>Haswinda.sasmi@vale.com</t>
  </si>
  <si>
    <t>C023174@123</t>
  </si>
  <si>
    <t>Warsa Setiawan Surmadi</t>
  </si>
  <si>
    <t>C042612</t>
  </si>
  <si>
    <t>C0676376@vale.com</t>
  </si>
  <si>
    <t>C042612@123</t>
  </si>
  <si>
    <t>Fitrasari Hamlar</t>
  </si>
  <si>
    <t>C030209</t>
  </si>
  <si>
    <t>C0639664@vale.com</t>
  </si>
  <si>
    <t>C030209@123</t>
  </si>
  <si>
    <t>Ferry Saputra</t>
  </si>
  <si>
    <t>C030786</t>
  </si>
  <si>
    <t xml:space="preserve">Material Expeditor </t>
  </si>
  <si>
    <t>C0697185@vale.com</t>
  </si>
  <si>
    <t>C030786@123</t>
  </si>
  <si>
    <t>Yunita Sherly</t>
  </si>
  <si>
    <t>C007706</t>
  </si>
  <si>
    <t>C0618405@vale.com</t>
  </si>
  <si>
    <t>C007706@123</t>
  </si>
  <si>
    <t>Muhammad Takbir Machmud</t>
  </si>
  <si>
    <t>C035569</t>
  </si>
  <si>
    <t>Jr. Instrument Engineer</t>
  </si>
  <si>
    <t>C0652282@vale.com</t>
  </si>
  <si>
    <t>C035569@123</t>
  </si>
  <si>
    <t>Rustan Abbas</t>
  </si>
  <si>
    <t>Jr. Electrical Engineer</t>
  </si>
  <si>
    <t>rustan.abbas@vale.com</t>
  </si>
  <si>
    <t>8022@123</t>
  </si>
  <si>
    <t>Rachmad</t>
  </si>
  <si>
    <t>C036255</t>
  </si>
  <si>
    <t>c0670576@vale.com</t>
  </si>
  <si>
    <t>C036255@123</t>
  </si>
  <si>
    <t>Ririn Angriani</t>
  </si>
  <si>
    <t>C041224</t>
  </si>
  <si>
    <t>C0671288@vale.com</t>
  </si>
  <si>
    <t>C041224@123</t>
  </si>
  <si>
    <t>Eka Putri Pertiwi</t>
  </si>
  <si>
    <t>C028034</t>
  </si>
  <si>
    <t>C0655564@vale.com</t>
  </si>
  <si>
    <t>C028034@123</t>
  </si>
  <si>
    <t>Widya Ayu Asyadi</t>
  </si>
  <si>
    <t>C040864</t>
  </si>
  <si>
    <t>QA/QC EI</t>
  </si>
  <si>
    <t>c0670934@vale.com</t>
  </si>
  <si>
    <t>C040864@123</t>
  </si>
  <si>
    <t>Rahmat Zuhair</t>
  </si>
  <si>
    <t xml:space="preserve">Electrical &amp; Instrument QA/QC Construction </t>
  </si>
  <si>
    <t>Rahmat.Zuhair@Vale.com</t>
  </si>
  <si>
    <t>81046614@123</t>
  </si>
  <si>
    <t>Riri Reskyah Basri</t>
  </si>
  <si>
    <t>C040575</t>
  </si>
  <si>
    <t>QA/QC MC</t>
  </si>
  <si>
    <t>C0669672@vale.com</t>
  </si>
  <si>
    <t>C040575@123</t>
  </si>
  <si>
    <t>M. Fathur Miftahudin</t>
  </si>
  <si>
    <t>Instrument Engineer</t>
  </si>
  <si>
    <t>Fathur.Miftahudin@vale.com</t>
  </si>
  <si>
    <t>81027577@123</t>
  </si>
  <si>
    <t>Zulfikar Ibnu Masud</t>
  </si>
  <si>
    <t>Supervisor Project Services</t>
  </si>
  <si>
    <t>Zulfikar.Ibnu.Masud@vale.com</t>
  </si>
  <si>
    <t>10646@123</t>
  </si>
  <si>
    <t>Endah Lestari</t>
  </si>
  <si>
    <t>endah.lestari@vale.com</t>
  </si>
  <si>
    <t>81043494@123</t>
  </si>
  <si>
    <t>Musdalifah S. Muhammadong</t>
  </si>
  <si>
    <t>musdalifah.muhammadong@vale.com</t>
  </si>
  <si>
    <t>81046612@123</t>
  </si>
  <si>
    <t xml:space="preserve">Kevianto Ruru </t>
  </si>
  <si>
    <t>C030195</t>
  </si>
  <si>
    <t>c0690951@vale.com</t>
  </si>
  <si>
    <t>C030195@123</t>
  </si>
  <si>
    <t>Muhammad Azka Arwin</t>
  </si>
  <si>
    <t>C-026911</t>
  </si>
  <si>
    <t>muh.azka.arwin@vale.com</t>
  </si>
  <si>
    <t>C-026911@123</t>
  </si>
  <si>
    <t>Busran Mahmud</t>
  </si>
  <si>
    <t>Supervisor Electrical Instrument</t>
  </si>
  <si>
    <t>busran.mahmud.bm@gmail.com</t>
  </si>
  <si>
    <t>10658@123</t>
  </si>
  <si>
    <t>Muhammad Hanif</t>
  </si>
  <si>
    <t>C031649</t>
  </si>
  <si>
    <t>C0617020@vale.com</t>
  </si>
  <si>
    <t>C031649@123</t>
  </si>
  <si>
    <t>Achmad Saefullah Noer</t>
  </si>
  <si>
    <t>C040804</t>
  </si>
  <si>
    <t>C0669674@vale.com</t>
  </si>
  <si>
    <t>C040804@123</t>
  </si>
  <si>
    <t>Ari Saputra</t>
  </si>
  <si>
    <t>C031768</t>
  </si>
  <si>
    <t>C0670993@vale.com</t>
  </si>
  <si>
    <t>C031768@123</t>
  </si>
  <si>
    <t>Usman</t>
  </si>
  <si>
    <t>Scheduler</t>
  </si>
  <si>
    <t>usman@vale.com</t>
  </si>
  <si>
    <t>7524@123</t>
  </si>
  <si>
    <t>Aswan</t>
  </si>
  <si>
    <t>C015434</t>
  </si>
  <si>
    <t>C0682099@vale.com</t>
  </si>
  <si>
    <t>C015434@123</t>
  </si>
  <si>
    <t>Rachmat Sannia Putra</t>
  </si>
  <si>
    <t>rachmat.putra@vale.com</t>
  </si>
  <si>
    <t>11507@123</t>
  </si>
  <si>
    <t>Betteng</t>
  </si>
  <si>
    <t>a.betteng.gau@vale.com</t>
  </si>
  <si>
    <t>7499@123</t>
  </si>
  <si>
    <t>Yusak</t>
  </si>
  <si>
    <t>C029098</t>
  </si>
  <si>
    <t>C0680517@vale.com</t>
  </si>
  <si>
    <t>C029098@123</t>
  </si>
  <si>
    <t>Hairuddin</t>
  </si>
  <si>
    <t>Rigging Planner</t>
  </si>
  <si>
    <t>Hairuddin1@vale.com</t>
  </si>
  <si>
    <t>8247@123</t>
  </si>
  <si>
    <t>Sitti Lainun Humairah Azzahrah</t>
  </si>
  <si>
    <t>C039967</t>
  </si>
  <si>
    <t>c0665593@vale.com</t>
  </si>
  <si>
    <t>C039967@123</t>
  </si>
  <si>
    <t xml:space="preserve">Nafri Yanto Tiku </t>
  </si>
  <si>
    <t>C037836</t>
  </si>
  <si>
    <t>C0684922@vale.com</t>
  </si>
  <si>
    <t>C037836@123</t>
  </si>
  <si>
    <t>Fahri Kasim</t>
  </si>
  <si>
    <t>C036514</t>
  </si>
  <si>
    <t>C0669238@vale.com</t>
  </si>
  <si>
    <t>C036514@123</t>
  </si>
  <si>
    <t>Yulianus Rantemangiling</t>
  </si>
  <si>
    <t>Team Leader Product Plant</t>
  </si>
  <si>
    <t>yulianus.rantemangiling@vale.com</t>
  </si>
  <si>
    <t>7643@123</t>
  </si>
  <si>
    <t xml:space="preserve">Enos Buyang </t>
  </si>
  <si>
    <t>Enosbuyang@vale.cim</t>
  </si>
  <si>
    <t>7637@123</t>
  </si>
  <si>
    <t>Muhammad Taufiq Hidayat</t>
  </si>
  <si>
    <t>C025393</t>
  </si>
  <si>
    <t>C0697599@vale.com</t>
  </si>
  <si>
    <t>C025393@123</t>
  </si>
  <si>
    <t>Sri Pujianti</t>
  </si>
  <si>
    <t>C040936</t>
  </si>
  <si>
    <t>C0669673@vale.com</t>
  </si>
  <si>
    <t>C040936@123</t>
  </si>
  <si>
    <t>Jechzon Parinding</t>
  </si>
  <si>
    <t>jechzon.parinding1@vale.com</t>
  </si>
  <si>
    <t>11490@123</t>
  </si>
  <si>
    <t>Amelia Reskiani Limbong</t>
  </si>
  <si>
    <t>C023291</t>
  </si>
  <si>
    <t>c0605954@vale.com</t>
  </si>
  <si>
    <t>C023291@123</t>
  </si>
  <si>
    <t>Muhammad Rizki Kurniawan</t>
  </si>
  <si>
    <t>muhammad.rizki.kurniawan@vale.com</t>
  </si>
  <si>
    <t>81041740@123</t>
  </si>
  <si>
    <t>Murman</t>
  </si>
  <si>
    <t xml:space="preserve">Technician Project </t>
  </si>
  <si>
    <t>murman@vale.com</t>
  </si>
  <si>
    <t>8343@123</t>
  </si>
  <si>
    <t>Ardy</t>
  </si>
  <si>
    <t>Admin Officer</t>
  </si>
  <si>
    <t>vmv1792@globalvale.onmicrosoft.com</t>
  </si>
  <si>
    <t>10041@123</t>
  </si>
  <si>
    <t>Asyhar Fanani</t>
  </si>
  <si>
    <t>Senior Electrical Engineer</t>
  </si>
  <si>
    <t>asyhar.fanani@vale.com</t>
  </si>
  <si>
    <t>81032610@123</t>
  </si>
  <si>
    <t>Vitalis Pasang</t>
  </si>
  <si>
    <t>C000205</t>
  </si>
  <si>
    <t>vitalis.pasang@vale.com</t>
  </si>
  <si>
    <t>C000205@123</t>
  </si>
  <si>
    <t>Zulkifli Hamzah</t>
  </si>
  <si>
    <t>zulkifli@vale.com</t>
  </si>
  <si>
    <t>7085@123</t>
  </si>
  <si>
    <t>Muhammad Gustav Assegaf</t>
  </si>
  <si>
    <t>C035705</t>
  </si>
  <si>
    <t>c0670578@vale.com</t>
  </si>
  <si>
    <t>C035705@123</t>
  </si>
  <si>
    <t>Denada Rusman</t>
  </si>
  <si>
    <t>C036947</t>
  </si>
  <si>
    <t>C0650091@vale.com</t>
  </si>
  <si>
    <t>C036947@123</t>
  </si>
  <si>
    <t>Ingrid Selly Aprianty</t>
  </si>
  <si>
    <t>C027580</t>
  </si>
  <si>
    <t>c0622585@vale.com</t>
  </si>
  <si>
    <t>C027580@123</t>
  </si>
  <si>
    <t>Ahmad Fauzan Rahman</t>
  </si>
  <si>
    <t>C036254</t>
  </si>
  <si>
    <t>C0683482@vale.com</t>
  </si>
  <si>
    <t>C036254@123</t>
  </si>
  <si>
    <t>Arum Estri Perdinasari</t>
  </si>
  <si>
    <t>arum.perdinasari@vale.com</t>
  </si>
  <si>
    <t>81020054@123</t>
  </si>
  <si>
    <t>Gunawan</t>
  </si>
  <si>
    <t>C034918</t>
  </si>
  <si>
    <t>c0670580@vale.com</t>
  </si>
  <si>
    <t>C034918@123</t>
  </si>
  <si>
    <t>Rachman</t>
  </si>
  <si>
    <t xml:space="preserve">Mechanical Civil Planning </t>
  </si>
  <si>
    <t>Rachman1@vale.com</t>
  </si>
  <si>
    <t>7965@123</t>
  </si>
  <si>
    <t>Syahriani</t>
  </si>
  <si>
    <t>Capital Admin</t>
  </si>
  <si>
    <t>syahriani.syahriani@vale.com</t>
  </si>
  <si>
    <t>81055462@123</t>
  </si>
  <si>
    <t xml:space="preserve">Elfriani </t>
  </si>
  <si>
    <t>elfriani@vale.com</t>
  </si>
  <si>
    <t>10415@123</t>
  </si>
  <si>
    <t>Ahmad Asadul Kadar</t>
  </si>
  <si>
    <t>c041079</t>
  </si>
  <si>
    <t>C0670581@vale.com</t>
  </si>
  <si>
    <t>c041079@123</t>
  </si>
  <si>
    <t>Ilham Karim</t>
  </si>
  <si>
    <t>C02149</t>
  </si>
  <si>
    <t>C0600257@vale.com</t>
  </si>
  <si>
    <t>C02149@123</t>
  </si>
  <si>
    <t>Femilia Pabimbin Salle</t>
  </si>
  <si>
    <t>C042654</t>
  </si>
  <si>
    <t>C0675856@vale.com</t>
  </si>
  <si>
    <t>C042654@123</t>
  </si>
  <si>
    <t xml:space="preserve">Restyu Catur Brayuna </t>
  </si>
  <si>
    <t xml:space="preserve">C037810 </t>
  </si>
  <si>
    <t>C061289@vale.com</t>
  </si>
  <si>
    <t>C037810 @123</t>
  </si>
  <si>
    <t>Giofani Nur Putri Argenza</t>
  </si>
  <si>
    <t>C041325</t>
  </si>
  <si>
    <t>C0671662@vale.com</t>
  </si>
  <si>
    <t>C041325@123</t>
  </si>
  <si>
    <t>Eddo Hartondo</t>
  </si>
  <si>
    <t>eddo.hartondo@vale.com</t>
  </si>
  <si>
    <t>5894@123</t>
  </si>
  <si>
    <t>Rasti rombe</t>
  </si>
  <si>
    <t>Material coordinator</t>
  </si>
  <si>
    <t>Rasti.Rombe@vale.com</t>
  </si>
  <si>
    <t>7967@123</t>
  </si>
  <si>
    <t>Eva Triana</t>
  </si>
  <si>
    <t>C030514</t>
  </si>
  <si>
    <t>C0665143@vale.com</t>
  </si>
  <si>
    <t>C030514@123</t>
  </si>
  <si>
    <t>Syulung Yuli Pranoto</t>
  </si>
  <si>
    <t>Mechanical Engineer</t>
  </si>
  <si>
    <t>syulung.pranoto@vale.com</t>
  </si>
  <si>
    <t>81027028@123</t>
  </si>
  <si>
    <t>Muh Firmansyah</t>
  </si>
  <si>
    <t>C036656</t>
  </si>
  <si>
    <t>c0671072@vale.com</t>
  </si>
  <si>
    <t>C036656@123</t>
  </si>
  <si>
    <t>Sulastri Kahar</t>
  </si>
  <si>
    <t>sulastri.kahar@vale.com</t>
  </si>
  <si>
    <t>6955@123</t>
  </si>
  <si>
    <t>Resti Octavia Palayukan</t>
  </si>
  <si>
    <t>C039724</t>
  </si>
  <si>
    <t>C0664276@vale.com</t>
  </si>
  <si>
    <t>C039724@123</t>
  </si>
  <si>
    <t>Alan Suhardi Azis</t>
  </si>
  <si>
    <t>C009227</t>
  </si>
  <si>
    <t>C0628382@vale.com</t>
  </si>
  <si>
    <t>C009227@123</t>
  </si>
  <si>
    <t>Lukman Tandi Rapa</t>
  </si>
  <si>
    <t>Master GNR Construction</t>
  </si>
  <si>
    <t>Lukman.Tandi.Rapa@vale.com</t>
  </si>
  <si>
    <t>7799@123</t>
  </si>
  <si>
    <t>Jasruddin Jasdin</t>
  </si>
  <si>
    <t>Jasruddin@vale.com</t>
  </si>
  <si>
    <t>7966@123</t>
  </si>
  <si>
    <t>Rasdiana</t>
  </si>
  <si>
    <t>Rasdiana@vale.com</t>
  </si>
  <si>
    <t>6960@123</t>
  </si>
  <si>
    <t>Isman Amanu</t>
  </si>
  <si>
    <t>Planner</t>
  </si>
  <si>
    <t>ismanamanu@vale.com</t>
  </si>
  <si>
    <t>7641@123</t>
  </si>
  <si>
    <t>Atma Gammara</t>
  </si>
  <si>
    <t>Snr.MC DESIGNER</t>
  </si>
  <si>
    <t>atma.gamara@vale.com</t>
  </si>
  <si>
    <t>7999@123</t>
  </si>
  <si>
    <t>Natalia Pabara</t>
  </si>
  <si>
    <t>Snr. MC Designer</t>
  </si>
  <si>
    <t>natalia.pabara@vale.com</t>
  </si>
  <si>
    <t>8374@123</t>
  </si>
  <si>
    <t>Aldy Nuary S.</t>
  </si>
  <si>
    <t>C045809</t>
  </si>
  <si>
    <t>C0690485@vale.com</t>
  </si>
  <si>
    <t>C045809@123</t>
  </si>
  <si>
    <t>Ikhwan M</t>
  </si>
  <si>
    <t>C 027339</t>
  </si>
  <si>
    <t>C0690719@vale.com</t>
  </si>
  <si>
    <t>C 027339@123</t>
  </si>
  <si>
    <t>Jimmy A. Pawiro</t>
  </si>
  <si>
    <t>C017659</t>
  </si>
  <si>
    <t>C0630887@vale.com</t>
  </si>
  <si>
    <t>C017659@123</t>
  </si>
  <si>
    <t>Maulani Hamzah</t>
  </si>
  <si>
    <t>C023521</t>
  </si>
  <si>
    <t>C0679363@vale.com</t>
  </si>
  <si>
    <t>C023521@123</t>
  </si>
  <si>
    <t>Hendrik Erwin Salempang</t>
  </si>
  <si>
    <t>Civil Engineer</t>
  </si>
  <si>
    <t>hendrikerwin.salempang@vale.com</t>
  </si>
  <si>
    <t>7998@123</t>
  </si>
  <si>
    <t>Rahmat Hidayat</t>
  </si>
  <si>
    <t>C036616</t>
  </si>
  <si>
    <t>C0649151@vale.com</t>
  </si>
  <si>
    <t>C036616@123</t>
  </si>
  <si>
    <t>Indra</t>
  </si>
  <si>
    <t>C031171</t>
  </si>
  <si>
    <t>Material Expeditor</t>
  </si>
  <si>
    <t>C0674748@vale.com</t>
  </si>
  <si>
    <t>C031171@123</t>
  </si>
  <si>
    <t>Muzakkir</t>
  </si>
  <si>
    <t>C039898</t>
  </si>
  <si>
    <t>Senior Architect</t>
  </si>
  <si>
    <t>c0665591@vale.com</t>
  </si>
  <si>
    <t>C039898@123</t>
  </si>
  <si>
    <t>Ogya Farrosy</t>
  </si>
  <si>
    <t>ogya.farrosy@vale.com</t>
  </si>
  <si>
    <t>81047725@123</t>
  </si>
  <si>
    <t>Nasri Anas</t>
  </si>
  <si>
    <t>C034583</t>
  </si>
  <si>
    <t>C0639721@vale.com</t>
  </si>
  <si>
    <t>C034583@123</t>
  </si>
  <si>
    <t>Yudit Sentike</t>
  </si>
  <si>
    <t>Project Admin Officer</t>
  </si>
  <si>
    <t>Yudit.Sentike@vale.com</t>
  </si>
  <si>
    <t>7495@123</t>
  </si>
  <si>
    <t>Elsamtama Lasampa</t>
  </si>
  <si>
    <t>C012215</t>
  </si>
  <si>
    <t>C0617019@vale.com</t>
  </si>
  <si>
    <t>C012215@123</t>
  </si>
  <si>
    <t>Evy Malla</t>
  </si>
  <si>
    <t>Project Scheduler</t>
  </si>
  <si>
    <t>Evy.malla@vale.com</t>
  </si>
  <si>
    <t>7770@123</t>
  </si>
  <si>
    <t>Wasira Alisa</t>
  </si>
  <si>
    <t>Wasira.Alisa@vale.com</t>
  </si>
  <si>
    <t>5896@123</t>
  </si>
  <si>
    <t>Marwan Nawawi</t>
  </si>
  <si>
    <t>Marwan.Nawawi@vale.com</t>
  </si>
  <si>
    <t>7962@123</t>
  </si>
  <si>
    <t>Harnal</t>
  </si>
  <si>
    <t>Harnal@vale.com</t>
  </si>
  <si>
    <t>10055@123</t>
  </si>
  <si>
    <t>Haeril Anwar</t>
  </si>
  <si>
    <t>Abdullah.Haeril.Anwar@vale.com</t>
  </si>
  <si>
    <t>10056@123</t>
  </si>
  <si>
    <t>Sartian</t>
  </si>
  <si>
    <t>Sartian@vale.com</t>
  </si>
  <si>
    <t>10057@123</t>
  </si>
  <si>
    <t>Ginting Pararak</t>
  </si>
  <si>
    <t>Ginting.Pararak@vale.com</t>
  </si>
  <si>
    <t>10478@123</t>
  </si>
  <si>
    <t>Hermiadi</t>
  </si>
  <si>
    <t>Pandarai.Hermiadi@vale.com</t>
  </si>
  <si>
    <t>7963@123</t>
  </si>
  <si>
    <t>Risal Nuriono</t>
  </si>
  <si>
    <t>GNR Construction Trade</t>
  </si>
  <si>
    <t>Nuriono.Risal@vale.com</t>
  </si>
  <si>
    <t>7964@123</t>
  </si>
  <si>
    <t>Aryanto Toding</t>
  </si>
  <si>
    <t>Aryanto.Toding@vale.com</t>
  </si>
  <si>
    <t>7978@123</t>
  </si>
  <si>
    <t>Hans Layuk</t>
  </si>
  <si>
    <t>Master Crushing &amp; Batch Plant</t>
  </si>
  <si>
    <t>Hans.Layuk@vale.com</t>
  </si>
  <si>
    <t>7718@123</t>
  </si>
  <si>
    <t>Pither Tandiongan Daweri</t>
  </si>
  <si>
    <t>Pither.Daweri@vale.com</t>
  </si>
  <si>
    <t>81043182@123</t>
  </si>
  <si>
    <t>Yunita Rachmuddin</t>
  </si>
  <si>
    <t>Manager EPS</t>
  </si>
  <si>
    <t>EPS</t>
  </si>
  <si>
    <t>Yunita.Rahmuddin@vale.com</t>
  </si>
  <si>
    <t>8029@123</t>
  </si>
  <si>
    <t>Abdul Jabbar</t>
  </si>
  <si>
    <t>Supervisor CPE</t>
  </si>
  <si>
    <t>Abdul.Jabbar@vale.com</t>
  </si>
  <si>
    <t>5793@123</t>
  </si>
  <si>
    <t>Agung Pratama</t>
  </si>
  <si>
    <t>C028035</t>
  </si>
  <si>
    <t>c0642924@Vale.com</t>
  </si>
  <si>
    <t>C028035@123</t>
  </si>
  <si>
    <t>Nursalim Nurulhuda</t>
  </si>
  <si>
    <t>C056684</t>
  </si>
  <si>
    <t>C0714434@vale.com</t>
  </si>
  <si>
    <t>C056684@123</t>
  </si>
  <si>
    <t xml:space="preserve">Fadli </t>
  </si>
  <si>
    <t>fadli.1@vale.com</t>
  </si>
  <si>
    <t>81042860@123</t>
  </si>
  <si>
    <t>Wilyan Firmansyah</t>
  </si>
  <si>
    <t>C058872</t>
  </si>
  <si>
    <t>c0708989@vale.com</t>
  </si>
  <si>
    <t>C058872@123</t>
  </si>
  <si>
    <t xml:space="preserve">Nur Rizky Pratiwi </t>
  </si>
  <si>
    <t>C061066</t>
  </si>
  <si>
    <t>C0720766@vale.com</t>
  </si>
  <si>
    <t>C061066@123</t>
  </si>
  <si>
    <t>Rizki Fajar Jauhari</t>
  </si>
  <si>
    <t>rizki.fajar@vale.com</t>
  </si>
  <si>
    <t>81042441@123</t>
  </si>
  <si>
    <t>Chrisrian Dave</t>
  </si>
  <si>
    <t>C060565</t>
  </si>
  <si>
    <t>C0719753@vale.com</t>
  </si>
  <si>
    <t>C060565@123</t>
  </si>
  <si>
    <t>Muh Nur Khaidir</t>
  </si>
  <si>
    <t>C032410</t>
  </si>
  <si>
    <t>C0720765@vale.com</t>
  </si>
  <si>
    <t>C032410@123</t>
  </si>
  <si>
    <t xml:space="preserve">Try Nurul Istiqa </t>
  </si>
  <si>
    <t>C031169</t>
  </si>
  <si>
    <t>Perempuan</t>
  </si>
  <si>
    <t>C0620238@vale.com</t>
  </si>
  <si>
    <t>082338277135</t>
  </si>
  <si>
    <t>PT. MUCO</t>
  </si>
  <si>
    <t>Sorowako</t>
  </si>
  <si>
    <t>-</t>
  </si>
  <si>
    <t>S1</t>
  </si>
  <si>
    <t>JL.ZEBRA NO 5C WAWONDULA</t>
  </si>
  <si>
    <t>25 - 30</t>
  </si>
  <si>
    <t>WWD</t>
  </si>
  <si>
    <t>ADM</t>
  </si>
  <si>
    <t>SECONDED</t>
  </si>
  <si>
    <t>1-5</t>
  </si>
  <si>
    <t>Not yet</t>
  </si>
  <si>
    <t>Adelia Maria Julieta Parrangan</t>
  </si>
  <si>
    <t>C038543</t>
  </si>
  <si>
    <t>c0659330@vale.com</t>
  </si>
  <si>
    <t>082129503226</t>
  </si>
  <si>
    <t>PT. MGM</t>
  </si>
  <si>
    <t>Makassar</t>
  </si>
  <si>
    <t>Jl G. Semeru F.345, Sorowako</t>
  </si>
  <si>
    <t>SRK</t>
  </si>
  <si>
    <t>ENG</t>
  </si>
  <si>
    <t>31 - 40</t>
  </si>
  <si>
    <t>Julchaidir Anhar</t>
  </si>
  <si>
    <t>Laki-Laki</t>
  </si>
  <si>
    <t>julchaidir.anhar@vale.com</t>
  </si>
  <si>
    <t>0822434434</t>
  </si>
  <si>
    <t>PTVI</t>
  </si>
  <si>
    <t>Malili</t>
  </si>
  <si>
    <t>081355720800</t>
  </si>
  <si>
    <t>SMA</t>
  </si>
  <si>
    <t xml:space="preserve">Jln. Sungai Baliase no. 288 Wasuponda, Kecamatan Wasuponda, Luwu Timur. Sulawesi Selatan. K. Post 92983. </t>
  </si>
  <si>
    <t>51 - 55</t>
  </si>
  <si>
    <t>WSP</t>
  </si>
  <si>
    <t>MC/ME</t>
  </si>
  <si>
    <t>21-25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</si>
</sst>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4" fontId="0" fillId="2" borderId="0" xfId="0" applyNumberFormat="1" applyFill="1" applyAlignment="1">
      <alignment horizontal="left" vertical="center"/>
    </xf>
    <xf numFmtId="0" fontId="0" fillId="0" borderId="0" xfId="0" quotePrefix="1"/>
    <xf numFmtId="16" fontId="0" fillId="0" borderId="0" xfId="0" quotePrefix="1" applyNumberFormat="1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1" fillId="0" borderId="0" xfId="1" applyAlignment="1">
      <alignment horizontal="left" vertical="center"/>
    </xf>
    <xf numFmtId="0" fontId="2" fillId="0" borderId="0" xfId="1" applyFont="1" applyAlignment="1">
      <alignment horizontal="left" vertical="center"/>
    </xf>
    <xf numFmtId="0" fontId="0" fillId="0" borderId="0" xfId="0" quotePrefix="1" applyAlignment="1">
      <alignment horizontal="center" vertical="center"/>
    </xf>
    <xf numFmtId="16" fontId="0" fillId="0" borderId="0" xfId="0" quotePrefix="1" applyNumberFormat="1" applyAlignment="1">
      <alignment horizontal="center" vertical="center"/>
    </xf>
    <xf numFmtId="0" fontId="1" fillId="0" borderId="0" xfId="1"/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0" borderId="1" xfId="0" applyBorder="1"/>
  </cellXfs>
  <cellStyles count="2">
    <cellStyle name="Hyperlink" xfId="1" builtinId="8"/>
    <cellStyle name="Normal" xfId="0" builtinId="0"/>
  </cellStyles>
  <dxfs count="8"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numFmt numFmtId="165" formatCode="m/d/yyyy"/>
      <alignment horizontal="left" vertical="center"/>
    </dxf>
    <dxf>
      <alignment horizontal="left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B2:G133" totalsRowShown="0" headerRowDxfId="0" dataDxfId="7">
  <autoFilter ref="B2:G133" xr:uid="{00000000-0009-0000-0100-000001000000}"/>
  <tableColumns count="6">
    <tableColumn id="1" xr3:uid="{00000000-0010-0000-0000-000001000000}" name="Timestamp" dataDxfId="6"/>
    <tableColumn id="2" xr3:uid="{00000000-0010-0000-0000-000002000000}" name="Nama Karyawan" dataDxfId="5"/>
    <tableColumn id="3" xr3:uid="{00000000-0010-0000-0000-000003000000}" name="Badge Number" dataDxfId="4"/>
    <tableColumn id="4" xr3:uid="{00000000-0010-0000-0000-000004000000}" name="Posisi/Jabatan" dataDxfId="3"/>
    <tableColumn id="5" xr3:uid="{00000000-0010-0000-0000-000005000000}" name="Section " dataDxfId="2"/>
    <tableColumn id="7" xr3:uid="{00000000-0010-0000-0000-000007000000}" name="Email Val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uriono.Risal@vale.com" TargetMode="External"/><Relationship Id="rId13" Type="http://schemas.openxmlformats.org/officeDocument/2006/relationships/hyperlink" Target="mailto:Abdul.Jabbar@vale.com" TargetMode="External"/><Relationship Id="rId18" Type="http://schemas.openxmlformats.org/officeDocument/2006/relationships/table" Target="../tables/table1.xml"/><Relationship Id="rId3" Type="http://schemas.openxmlformats.org/officeDocument/2006/relationships/hyperlink" Target="mailto:Harnal@vale.com" TargetMode="External"/><Relationship Id="rId7" Type="http://schemas.openxmlformats.org/officeDocument/2006/relationships/hyperlink" Target="mailto:Pandarai.Hermiadi@vale.com" TargetMode="External"/><Relationship Id="rId12" Type="http://schemas.openxmlformats.org/officeDocument/2006/relationships/hyperlink" Target="mailto:Yunita.Rahmuddin@vale.com" TargetMode="External"/><Relationship Id="rId17" Type="http://schemas.openxmlformats.org/officeDocument/2006/relationships/hyperlink" Target="mailto:C0719753@vale.com" TargetMode="External"/><Relationship Id="rId2" Type="http://schemas.openxmlformats.org/officeDocument/2006/relationships/hyperlink" Target="mailto:Marwan.Nawawi@vale.com" TargetMode="External"/><Relationship Id="rId16" Type="http://schemas.openxmlformats.org/officeDocument/2006/relationships/hyperlink" Target="mailto:fadli.1@vale.com" TargetMode="External"/><Relationship Id="rId1" Type="http://schemas.openxmlformats.org/officeDocument/2006/relationships/hyperlink" Target="mailto:Rasdiana@vale.com" TargetMode="External"/><Relationship Id="rId6" Type="http://schemas.openxmlformats.org/officeDocument/2006/relationships/hyperlink" Target="mailto:Ginting.Pararak@vale.com" TargetMode="External"/><Relationship Id="rId11" Type="http://schemas.openxmlformats.org/officeDocument/2006/relationships/hyperlink" Target="mailto:Pither.Daweri@vale.com" TargetMode="External"/><Relationship Id="rId5" Type="http://schemas.openxmlformats.org/officeDocument/2006/relationships/hyperlink" Target="mailto:Sartian@vale.com" TargetMode="External"/><Relationship Id="rId15" Type="http://schemas.openxmlformats.org/officeDocument/2006/relationships/hyperlink" Target="mailto:C0714434@vale.com" TargetMode="External"/><Relationship Id="rId10" Type="http://schemas.openxmlformats.org/officeDocument/2006/relationships/hyperlink" Target="mailto:Hans.Layuk@vale.com" TargetMode="External"/><Relationship Id="rId4" Type="http://schemas.openxmlformats.org/officeDocument/2006/relationships/hyperlink" Target="mailto:Abdullah.Haeril.Anwar@vale.com" TargetMode="External"/><Relationship Id="rId9" Type="http://schemas.openxmlformats.org/officeDocument/2006/relationships/hyperlink" Target="mailto:Aryanto.Toding@vale.com" TargetMode="External"/><Relationship Id="rId14" Type="http://schemas.openxmlformats.org/officeDocument/2006/relationships/hyperlink" Target="mailto:Abdul.Jabbar@va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33"/>
  <sheetViews>
    <sheetView tabSelected="1" zoomScale="85" zoomScaleNormal="85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H2" sqref="H2:H133"/>
    </sheetView>
  </sheetViews>
  <sheetFormatPr defaultRowHeight="14.4" x14ac:dyDescent="0.3"/>
  <cols>
    <col min="1" max="1" width="0.88671875" customWidth="1"/>
    <col min="2" max="2" width="17.88671875" style="1" customWidth="1"/>
    <col min="3" max="3" width="27.5546875" style="1" bestFit="1" customWidth="1"/>
    <col min="4" max="4" width="19" style="1" customWidth="1"/>
    <col min="5" max="5" width="29.77734375" style="1" customWidth="1"/>
    <col min="6" max="6" width="9.5546875" style="1" customWidth="1"/>
    <col min="7" max="7" width="27.33203125" style="1" customWidth="1"/>
    <col min="8" max="8" width="13.77734375" bestFit="1" customWidth="1"/>
  </cols>
  <sheetData>
    <row r="1" spans="2:8" x14ac:dyDescent="0.3">
      <c r="B1" s="1">
        <f>SUBTOTAL(3,Table2[Timestamp])</f>
        <v>131</v>
      </c>
    </row>
    <row r="2" spans="2:8" s="16" customFormat="1" ht="25.95" customHeight="1" x14ac:dyDescent="0.3">
      <c r="B2" s="15" t="s">
        <v>0</v>
      </c>
      <c r="C2" s="15" t="s">
        <v>1</v>
      </c>
      <c r="D2" s="15" t="s">
        <v>2</v>
      </c>
      <c r="E2" s="15" t="s">
        <v>3</v>
      </c>
      <c r="F2" s="15" t="s">
        <v>4</v>
      </c>
      <c r="G2" s="15" t="s">
        <v>5</v>
      </c>
      <c r="H2" s="17" t="s">
        <v>6</v>
      </c>
    </row>
    <row r="3" spans="2:8" x14ac:dyDescent="0.3">
      <c r="B3" s="2">
        <v>45798.623717337963</v>
      </c>
      <c r="C3" s="1" t="s">
        <v>7</v>
      </c>
      <c r="D3" s="1" t="s">
        <v>8</v>
      </c>
      <c r="E3" s="1" t="s">
        <v>9</v>
      </c>
      <c r="F3" s="1" t="s">
        <v>10</v>
      </c>
      <c r="G3" s="1" t="s">
        <v>11</v>
      </c>
      <c r="H3" s="18" t="s">
        <v>12</v>
      </c>
    </row>
    <row r="4" spans="2:8" x14ac:dyDescent="0.3">
      <c r="B4" s="2">
        <v>45798.657459016213</v>
      </c>
      <c r="C4" s="1" t="s">
        <v>13</v>
      </c>
      <c r="D4" s="1">
        <v>81047947</v>
      </c>
      <c r="E4" s="1" t="s">
        <v>14</v>
      </c>
      <c r="F4" s="1" t="s">
        <v>15</v>
      </c>
      <c r="G4" s="1" t="s">
        <v>16</v>
      </c>
      <c r="H4" s="18" t="s">
        <v>17</v>
      </c>
    </row>
    <row r="5" spans="2:8" x14ac:dyDescent="0.3">
      <c r="B5" s="2">
        <v>45798.658048773148</v>
      </c>
      <c r="C5" s="1" t="s">
        <v>18</v>
      </c>
      <c r="D5" s="1">
        <v>8850</v>
      </c>
      <c r="E5" s="1" t="s">
        <v>19</v>
      </c>
      <c r="F5" s="1" t="s">
        <v>20</v>
      </c>
      <c r="G5" s="1" t="s">
        <v>21</v>
      </c>
      <c r="H5" s="18" t="s">
        <v>22</v>
      </c>
    </row>
    <row r="6" spans="2:8" x14ac:dyDescent="0.3">
      <c r="B6" s="2">
        <v>45798.659036365738</v>
      </c>
      <c r="C6" s="1" t="s">
        <v>23</v>
      </c>
      <c r="D6" s="1">
        <v>10438</v>
      </c>
      <c r="E6" s="1" t="s">
        <v>24</v>
      </c>
      <c r="F6" s="1" t="s">
        <v>10</v>
      </c>
      <c r="G6" s="1" t="s">
        <v>25</v>
      </c>
      <c r="H6" s="18" t="s">
        <v>26</v>
      </c>
    </row>
    <row r="7" spans="2:8" x14ac:dyDescent="0.3">
      <c r="B7" s="2">
        <v>45798.659085486113</v>
      </c>
      <c r="C7" s="1" t="s">
        <v>27</v>
      </c>
      <c r="D7" s="1">
        <v>81045323</v>
      </c>
      <c r="E7" s="1" t="s">
        <v>28</v>
      </c>
      <c r="F7" s="1" t="s">
        <v>20</v>
      </c>
      <c r="G7" s="1" t="s">
        <v>29</v>
      </c>
      <c r="H7" s="18" t="s">
        <v>30</v>
      </c>
    </row>
    <row r="8" spans="2:8" x14ac:dyDescent="0.3">
      <c r="B8" s="2">
        <v>45798.659268784722</v>
      </c>
      <c r="C8" s="1" t="s">
        <v>31</v>
      </c>
      <c r="D8" s="1" t="s">
        <v>32</v>
      </c>
      <c r="E8" s="1" t="s">
        <v>9</v>
      </c>
      <c r="F8" s="1" t="s">
        <v>10</v>
      </c>
      <c r="G8" s="1" t="s">
        <v>33</v>
      </c>
      <c r="H8" s="18" t="s">
        <v>34</v>
      </c>
    </row>
    <row r="9" spans="2:8" x14ac:dyDescent="0.3">
      <c r="B9" s="2">
        <v>45798.66049696759</v>
      </c>
      <c r="C9" s="1" t="s">
        <v>35</v>
      </c>
      <c r="D9" s="1">
        <v>7977</v>
      </c>
      <c r="E9" s="1" t="s">
        <v>36</v>
      </c>
      <c r="F9" s="1" t="s">
        <v>37</v>
      </c>
      <c r="G9" s="1" t="s">
        <v>38</v>
      </c>
      <c r="H9" s="18" t="s">
        <v>39</v>
      </c>
    </row>
    <row r="10" spans="2:8" x14ac:dyDescent="0.3">
      <c r="B10" s="2">
        <v>45798.665933807868</v>
      </c>
      <c r="C10" s="1" t="s">
        <v>40</v>
      </c>
      <c r="D10" s="1">
        <v>6201</v>
      </c>
      <c r="E10" s="1" t="s">
        <v>41</v>
      </c>
      <c r="F10" s="1" t="s">
        <v>20</v>
      </c>
      <c r="G10" s="1" t="s">
        <v>42</v>
      </c>
      <c r="H10" s="18" t="s">
        <v>43</v>
      </c>
    </row>
    <row r="11" spans="2:8" x14ac:dyDescent="0.3">
      <c r="B11" s="2">
        <v>45798.669434074072</v>
      </c>
      <c r="C11" s="1" t="s">
        <v>44</v>
      </c>
      <c r="D11" s="1" t="s">
        <v>45</v>
      </c>
      <c r="E11" s="1" t="s">
        <v>46</v>
      </c>
      <c r="F11" s="1" t="s">
        <v>10</v>
      </c>
      <c r="G11" s="1" t="s">
        <v>47</v>
      </c>
      <c r="H11" s="18" t="s">
        <v>48</v>
      </c>
    </row>
    <row r="12" spans="2:8" x14ac:dyDescent="0.3">
      <c r="B12" s="2">
        <v>45798.671768368047</v>
      </c>
      <c r="C12" s="1" t="s">
        <v>49</v>
      </c>
      <c r="D12" s="1">
        <v>81047948</v>
      </c>
      <c r="E12" s="1" t="s">
        <v>50</v>
      </c>
      <c r="F12" s="1" t="s">
        <v>15</v>
      </c>
      <c r="G12" s="1" t="s">
        <v>51</v>
      </c>
      <c r="H12" s="18" t="s">
        <v>52</v>
      </c>
    </row>
    <row r="13" spans="2:8" x14ac:dyDescent="0.3">
      <c r="B13" s="2">
        <v>45798.674452071762</v>
      </c>
      <c r="C13" s="1" t="s">
        <v>53</v>
      </c>
      <c r="D13" s="1">
        <v>81043495</v>
      </c>
      <c r="E13" s="1" t="s">
        <v>50</v>
      </c>
      <c r="F13" s="1" t="s">
        <v>15</v>
      </c>
      <c r="G13" s="1" t="s">
        <v>54</v>
      </c>
      <c r="H13" s="18" t="s">
        <v>55</v>
      </c>
    </row>
    <row r="14" spans="2:8" x14ac:dyDescent="0.3">
      <c r="B14" s="2">
        <v>45798.674617164354</v>
      </c>
      <c r="C14" s="1" t="s">
        <v>56</v>
      </c>
      <c r="D14" s="1">
        <v>11489</v>
      </c>
      <c r="E14" s="1" t="s">
        <v>57</v>
      </c>
      <c r="F14" s="1" t="s">
        <v>15</v>
      </c>
      <c r="G14" s="1" t="s">
        <v>58</v>
      </c>
      <c r="H14" s="18" t="s">
        <v>59</v>
      </c>
    </row>
    <row r="15" spans="2:8" x14ac:dyDescent="0.3">
      <c r="B15" s="2">
        <v>45798.679165150461</v>
      </c>
      <c r="C15" s="1" t="s">
        <v>60</v>
      </c>
      <c r="D15" s="1">
        <v>6962</v>
      </c>
      <c r="E15" s="1" t="s">
        <v>61</v>
      </c>
      <c r="F15" s="1" t="s">
        <v>15</v>
      </c>
      <c r="G15" s="1" t="s">
        <v>62</v>
      </c>
      <c r="H15" s="18" t="s">
        <v>63</v>
      </c>
    </row>
    <row r="16" spans="2:8" x14ac:dyDescent="0.3">
      <c r="B16" s="2">
        <v>45798.67979736111</v>
      </c>
      <c r="C16" s="1" t="s">
        <v>64</v>
      </c>
      <c r="D16" s="1">
        <v>81043366</v>
      </c>
      <c r="E16" s="1" t="s">
        <v>14</v>
      </c>
      <c r="F16" s="1" t="s">
        <v>15</v>
      </c>
      <c r="G16" s="1" t="s">
        <v>65</v>
      </c>
      <c r="H16" s="18" t="s">
        <v>66</v>
      </c>
    </row>
    <row r="17" spans="2:8" x14ac:dyDescent="0.3">
      <c r="B17" s="2">
        <v>45798.683661111107</v>
      </c>
      <c r="C17" s="1" t="s">
        <v>67</v>
      </c>
      <c r="D17" s="1" t="s">
        <v>68</v>
      </c>
      <c r="E17" s="1" t="s">
        <v>69</v>
      </c>
      <c r="F17" s="1" t="s">
        <v>20</v>
      </c>
      <c r="G17" s="1" t="s">
        <v>70</v>
      </c>
      <c r="H17" s="18" t="s">
        <v>71</v>
      </c>
    </row>
    <row r="18" spans="2:8" x14ac:dyDescent="0.3">
      <c r="B18" s="2">
        <v>45798.683846944441</v>
      </c>
      <c r="C18" s="1" t="s">
        <v>72</v>
      </c>
      <c r="D18" s="1" t="s">
        <v>73</v>
      </c>
      <c r="E18" s="1" t="s">
        <v>74</v>
      </c>
      <c r="F18" s="1" t="s">
        <v>15</v>
      </c>
      <c r="G18" s="1" t="s">
        <v>75</v>
      </c>
      <c r="H18" s="18" t="s">
        <v>76</v>
      </c>
    </row>
    <row r="19" spans="2:8" x14ac:dyDescent="0.3">
      <c r="B19" s="2">
        <v>45798.684050752323</v>
      </c>
      <c r="C19" s="1" t="s">
        <v>77</v>
      </c>
      <c r="D19" s="1">
        <v>81048629</v>
      </c>
      <c r="E19" s="1" t="s">
        <v>57</v>
      </c>
      <c r="F19" s="1" t="s">
        <v>15</v>
      </c>
      <c r="G19" s="1" t="s">
        <v>78</v>
      </c>
      <c r="H19" s="18" t="s">
        <v>79</v>
      </c>
    </row>
    <row r="20" spans="2:8" x14ac:dyDescent="0.3">
      <c r="B20" s="2">
        <v>45798.690760185193</v>
      </c>
      <c r="C20" s="1" t="s">
        <v>80</v>
      </c>
      <c r="D20" s="1" t="s">
        <v>81</v>
      </c>
      <c r="E20" s="1" t="s">
        <v>19</v>
      </c>
      <c r="F20" s="1" t="s">
        <v>20</v>
      </c>
      <c r="G20" s="1" t="s">
        <v>82</v>
      </c>
      <c r="H20" s="18" t="s">
        <v>83</v>
      </c>
    </row>
    <row r="21" spans="2:8" x14ac:dyDescent="0.3">
      <c r="B21" s="2">
        <v>45798.697186469908</v>
      </c>
      <c r="C21" s="1" t="s">
        <v>84</v>
      </c>
      <c r="D21" s="1">
        <v>8357</v>
      </c>
      <c r="E21" s="1" t="s">
        <v>85</v>
      </c>
      <c r="F21" s="1" t="s">
        <v>37</v>
      </c>
      <c r="G21" s="1" t="s">
        <v>86</v>
      </c>
      <c r="H21" s="18" t="s">
        <v>87</v>
      </c>
    </row>
    <row r="22" spans="2:8" x14ac:dyDescent="0.3">
      <c r="B22" s="2">
        <v>45798.701043229157</v>
      </c>
      <c r="C22" s="1" t="s">
        <v>88</v>
      </c>
      <c r="D22" s="1">
        <v>10556</v>
      </c>
      <c r="E22" s="1" t="s">
        <v>89</v>
      </c>
      <c r="F22" s="1" t="s">
        <v>15</v>
      </c>
      <c r="G22" s="1" t="s">
        <v>90</v>
      </c>
      <c r="H22" s="18" t="s">
        <v>91</v>
      </c>
    </row>
    <row r="23" spans="2:8" x14ac:dyDescent="0.3">
      <c r="B23" s="2">
        <v>45798.701843171293</v>
      </c>
      <c r="C23" s="1" t="s">
        <v>92</v>
      </c>
      <c r="D23" s="1">
        <v>11267</v>
      </c>
      <c r="E23" s="1" t="s">
        <v>93</v>
      </c>
      <c r="F23" s="1" t="s">
        <v>37</v>
      </c>
      <c r="G23" s="1" t="s">
        <v>94</v>
      </c>
      <c r="H23" s="18" t="s">
        <v>95</v>
      </c>
    </row>
    <row r="24" spans="2:8" x14ac:dyDescent="0.3">
      <c r="B24" s="2">
        <v>45798.705196423609</v>
      </c>
      <c r="C24" s="1" t="s">
        <v>96</v>
      </c>
      <c r="D24" s="1">
        <v>10259</v>
      </c>
      <c r="E24" s="1" t="s">
        <v>57</v>
      </c>
      <c r="F24" s="1" t="s">
        <v>15</v>
      </c>
      <c r="G24" s="1" t="s">
        <v>97</v>
      </c>
      <c r="H24" s="18" t="s">
        <v>98</v>
      </c>
    </row>
    <row r="25" spans="2:8" x14ac:dyDescent="0.3">
      <c r="B25" s="2">
        <v>45798.706388946761</v>
      </c>
      <c r="C25" s="1" t="s">
        <v>99</v>
      </c>
      <c r="D25" s="1">
        <v>8173</v>
      </c>
      <c r="E25" s="1" t="s">
        <v>100</v>
      </c>
      <c r="F25" s="1" t="s">
        <v>10</v>
      </c>
      <c r="G25" s="1" t="s">
        <v>101</v>
      </c>
      <c r="H25" s="18" t="s">
        <v>102</v>
      </c>
    </row>
    <row r="26" spans="2:8" x14ac:dyDescent="0.3">
      <c r="B26" s="2">
        <v>45798.707782164347</v>
      </c>
      <c r="C26" s="1" t="s">
        <v>103</v>
      </c>
      <c r="D26" s="1">
        <v>10058</v>
      </c>
      <c r="E26" s="1" t="s">
        <v>104</v>
      </c>
      <c r="F26" s="1" t="s">
        <v>10</v>
      </c>
      <c r="G26" s="1" t="s">
        <v>105</v>
      </c>
      <c r="H26" s="18" t="s">
        <v>106</v>
      </c>
    </row>
    <row r="27" spans="2:8" x14ac:dyDescent="0.3">
      <c r="B27" s="2">
        <v>45798.712765162039</v>
      </c>
      <c r="C27" s="1" t="s">
        <v>107</v>
      </c>
      <c r="D27" s="1" t="s">
        <v>108</v>
      </c>
      <c r="E27" s="1" t="s">
        <v>74</v>
      </c>
      <c r="F27" s="1" t="s">
        <v>15</v>
      </c>
      <c r="G27" s="1" t="s">
        <v>109</v>
      </c>
      <c r="H27" s="18" t="s">
        <v>110</v>
      </c>
    </row>
    <row r="28" spans="2:8" x14ac:dyDescent="0.3">
      <c r="B28" s="2">
        <v>45798.716083298612</v>
      </c>
      <c r="C28" s="1" t="s">
        <v>111</v>
      </c>
      <c r="D28" s="1" t="s">
        <v>112</v>
      </c>
      <c r="E28" s="1" t="s">
        <v>113</v>
      </c>
      <c r="F28" s="1" t="s">
        <v>15</v>
      </c>
      <c r="G28" s="1" t="s">
        <v>114</v>
      </c>
      <c r="H28" s="18" t="s">
        <v>115</v>
      </c>
    </row>
    <row r="29" spans="2:8" x14ac:dyDescent="0.3">
      <c r="B29" s="2">
        <v>45798.720719097233</v>
      </c>
      <c r="C29" s="1" t="s">
        <v>116</v>
      </c>
      <c r="D29" s="1" t="s">
        <v>117</v>
      </c>
      <c r="E29" s="1" t="s">
        <v>9</v>
      </c>
      <c r="F29" s="1" t="s">
        <v>10</v>
      </c>
      <c r="G29" s="1" t="s">
        <v>118</v>
      </c>
      <c r="H29" s="18" t="s">
        <v>119</v>
      </c>
    </row>
    <row r="30" spans="2:8" x14ac:dyDescent="0.3">
      <c r="B30" s="2">
        <v>45798.725062418976</v>
      </c>
      <c r="C30" s="1" t="s">
        <v>120</v>
      </c>
      <c r="D30" s="1" t="s">
        <v>121</v>
      </c>
      <c r="E30" s="1" t="s">
        <v>28</v>
      </c>
      <c r="F30" s="1" t="s">
        <v>20</v>
      </c>
      <c r="G30" s="1" t="s">
        <v>122</v>
      </c>
      <c r="H30" s="18" t="s">
        <v>123</v>
      </c>
    </row>
    <row r="31" spans="2:8" x14ac:dyDescent="0.3">
      <c r="B31" s="2">
        <v>45798.727938599543</v>
      </c>
      <c r="C31" s="1" t="s">
        <v>124</v>
      </c>
      <c r="D31" s="1" t="s">
        <v>125</v>
      </c>
      <c r="E31" s="1" t="s">
        <v>126</v>
      </c>
      <c r="F31" s="1" t="s">
        <v>10</v>
      </c>
      <c r="G31" s="1" t="s">
        <v>127</v>
      </c>
      <c r="H31" s="18" t="s">
        <v>128</v>
      </c>
    </row>
    <row r="32" spans="2:8" x14ac:dyDescent="0.3">
      <c r="B32" s="2">
        <v>45798.72828703704</v>
      </c>
      <c r="C32" s="1" t="s">
        <v>129</v>
      </c>
      <c r="D32" s="1" t="s">
        <v>130</v>
      </c>
      <c r="E32" s="1" t="s">
        <v>24</v>
      </c>
      <c r="F32" s="1" t="s">
        <v>10</v>
      </c>
      <c r="G32" s="1" t="s">
        <v>131</v>
      </c>
      <c r="H32" s="18" t="s">
        <v>132</v>
      </c>
    </row>
    <row r="33" spans="2:8" x14ac:dyDescent="0.3">
      <c r="B33" s="2">
        <v>45798.733023680557</v>
      </c>
      <c r="C33" s="1" t="s">
        <v>133</v>
      </c>
      <c r="D33" s="1" t="s">
        <v>134</v>
      </c>
      <c r="E33" s="1" t="s">
        <v>135</v>
      </c>
      <c r="F33" s="1" t="s">
        <v>20</v>
      </c>
      <c r="G33" s="1" t="s">
        <v>136</v>
      </c>
      <c r="H33" s="18" t="s">
        <v>137</v>
      </c>
    </row>
    <row r="34" spans="2:8" x14ac:dyDescent="0.3">
      <c r="B34" s="2">
        <v>45798.737139907411</v>
      </c>
      <c r="C34" s="1" t="s">
        <v>138</v>
      </c>
      <c r="D34" s="1">
        <v>8022</v>
      </c>
      <c r="E34" s="1" t="s">
        <v>139</v>
      </c>
      <c r="F34" s="1" t="s">
        <v>20</v>
      </c>
      <c r="G34" s="1" t="s">
        <v>140</v>
      </c>
      <c r="H34" s="18" t="s">
        <v>141</v>
      </c>
    </row>
    <row r="35" spans="2:8" x14ac:dyDescent="0.3">
      <c r="B35" s="2">
        <v>45798.738378414353</v>
      </c>
      <c r="C35" s="1" t="s">
        <v>142</v>
      </c>
      <c r="D35" s="1" t="s">
        <v>143</v>
      </c>
      <c r="E35" s="1" t="s">
        <v>50</v>
      </c>
      <c r="F35" s="1" t="s">
        <v>15</v>
      </c>
      <c r="G35" s="1" t="s">
        <v>144</v>
      </c>
      <c r="H35" s="18" t="s">
        <v>145</v>
      </c>
    </row>
    <row r="36" spans="2:8" x14ac:dyDescent="0.3">
      <c r="B36" s="2">
        <v>45798.738702071758</v>
      </c>
      <c r="C36" s="1" t="s">
        <v>146</v>
      </c>
      <c r="D36" s="1" t="s">
        <v>147</v>
      </c>
      <c r="E36" s="1" t="s">
        <v>57</v>
      </c>
      <c r="F36" s="1" t="s">
        <v>15</v>
      </c>
      <c r="G36" s="1" t="s">
        <v>148</v>
      </c>
      <c r="H36" s="18" t="s">
        <v>149</v>
      </c>
    </row>
    <row r="37" spans="2:8" x14ac:dyDescent="0.3">
      <c r="B37" s="2">
        <v>45798.738741793983</v>
      </c>
      <c r="C37" s="1" t="s">
        <v>150</v>
      </c>
      <c r="D37" s="1" t="s">
        <v>151</v>
      </c>
      <c r="E37" s="1" t="s">
        <v>14</v>
      </c>
      <c r="F37" s="1" t="s">
        <v>15</v>
      </c>
      <c r="G37" s="1" t="s">
        <v>152</v>
      </c>
      <c r="H37" s="18" t="s">
        <v>153</v>
      </c>
    </row>
    <row r="38" spans="2:8" x14ac:dyDescent="0.3">
      <c r="B38" s="2">
        <v>45798.74167880787</v>
      </c>
      <c r="C38" s="1" t="s">
        <v>154</v>
      </c>
      <c r="D38" s="1" t="s">
        <v>155</v>
      </c>
      <c r="E38" s="1" t="s">
        <v>156</v>
      </c>
      <c r="F38" s="1" t="s">
        <v>20</v>
      </c>
      <c r="G38" s="1" t="s">
        <v>157</v>
      </c>
      <c r="H38" s="18" t="s">
        <v>158</v>
      </c>
    </row>
    <row r="39" spans="2:8" x14ac:dyDescent="0.3">
      <c r="B39" s="2">
        <v>45798.742812326389</v>
      </c>
      <c r="C39" s="1" t="s">
        <v>159</v>
      </c>
      <c r="D39" s="1">
        <v>81046614</v>
      </c>
      <c r="E39" s="1" t="s">
        <v>160</v>
      </c>
      <c r="F39" s="1" t="s">
        <v>37</v>
      </c>
      <c r="G39" s="1" t="s">
        <v>161</v>
      </c>
      <c r="H39" s="18" t="s">
        <v>162</v>
      </c>
    </row>
    <row r="40" spans="2:8" x14ac:dyDescent="0.3">
      <c r="B40" s="2">
        <v>45798.766972025463</v>
      </c>
      <c r="C40" s="1" t="s">
        <v>163</v>
      </c>
      <c r="D40" s="1" t="s">
        <v>164</v>
      </c>
      <c r="E40" s="1" t="s">
        <v>165</v>
      </c>
      <c r="F40" s="1" t="s">
        <v>15</v>
      </c>
      <c r="G40" s="1" t="s">
        <v>166</v>
      </c>
      <c r="H40" s="18" t="s">
        <v>167</v>
      </c>
    </row>
    <row r="41" spans="2:8" x14ac:dyDescent="0.3">
      <c r="B41" s="2">
        <v>45798.822740300922</v>
      </c>
      <c r="C41" s="1" t="s">
        <v>168</v>
      </c>
      <c r="D41" s="1">
        <v>81027577</v>
      </c>
      <c r="E41" s="1" t="s">
        <v>169</v>
      </c>
      <c r="F41" s="1" t="s">
        <v>20</v>
      </c>
      <c r="G41" s="1" t="s">
        <v>170</v>
      </c>
      <c r="H41" s="18" t="s">
        <v>171</v>
      </c>
    </row>
    <row r="42" spans="2:8" x14ac:dyDescent="0.3">
      <c r="B42" s="2">
        <v>45798.933045057871</v>
      </c>
      <c r="C42" s="1" t="s">
        <v>172</v>
      </c>
      <c r="D42" s="1">
        <v>10646</v>
      </c>
      <c r="E42" s="1" t="s">
        <v>173</v>
      </c>
      <c r="F42" s="1" t="s">
        <v>10</v>
      </c>
      <c r="G42" s="1" t="s">
        <v>174</v>
      </c>
      <c r="H42" s="18" t="s">
        <v>175</v>
      </c>
    </row>
    <row r="43" spans="2:8" x14ac:dyDescent="0.3">
      <c r="B43" s="2">
        <v>45798.937246909722</v>
      </c>
      <c r="C43" s="1" t="s">
        <v>176</v>
      </c>
      <c r="D43" s="1">
        <v>81043494</v>
      </c>
      <c r="E43" s="1" t="s">
        <v>9</v>
      </c>
      <c r="F43" s="1" t="s">
        <v>10</v>
      </c>
      <c r="G43" s="1" t="s">
        <v>177</v>
      </c>
      <c r="H43" s="18" t="s">
        <v>178</v>
      </c>
    </row>
    <row r="44" spans="2:8" x14ac:dyDescent="0.3">
      <c r="B44" s="2">
        <v>45799.220026087962</v>
      </c>
      <c r="C44" s="1" t="s">
        <v>179</v>
      </c>
      <c r="D44" s="1">
        <v>81046612</v>
      </c>
      <c r="E44" s="1" t="s">
        <v>139</v>
      </c>
      <c r="F44" s="1" t="s">
        <v>20</v>
      </c>
      <c r="G44" s="1" t="s">
        <v>180</v>
      </c>
      <c r="H44" s="18" t="s">
        <v>181</v>
      </c>
    </row>
    <row r="45" spans="2:8" x14ac:dyDescent="0.3">
      <c r="B45" s="2">
        <v>45799.222722604172</v>
      </c>
      <c r="C45" s="1" t="s">
        <v>182</v>
      </c>
      <c r="D45" s="1" t="s">
        <v>183</v>
      </c>
      <c r="E45" s="1" t="s">
        <v>57</v>
      </c>
      <c r="F45" s="1" t="s">
        <v>15</v>
      </c>
      <c r="G45" s="1" t="s">
        <v>184</v>
      </c>
      <c r="H45" s="18" t="s">
        <v>185</v>
      </c>
    </row>
    <row r="46" spans="2:8" x14ac:dyDescent="0.3">
      <c r="B46" s="2">
        <v>45799.249942858798</v>
      </c>
      <c r="C46" s="1" t="s">
        <v>186</v>
      </c>
      <c r="D46" s="1" t="s">
        <v>187</v>
      </c>
      <c r="E46" s="1" t="s">
        <v>28</v>
      </c>
      <c r="F46" s="1" t="s">
        <v>20</v>
      </c>
      <c r="G46" s="1" t="s">
        <v>188</v>
      </c>
      <c r="H46" s="18" t="s">
        <v>189</v>
      </c>
    </row>
    <row r="47" spans="2:8" x14ac:dyDescent="0.3">
      <c r="B47" s="2">
        <v>45799.259964953701</v>
      </c>
      <c r="C47" s="1" t="s">
        <v>190</v>
      </c>
      <c r="D47" s="1">
        <v>10658</v>
      </c>
      <c r="E47" s="1" t="s">
        <v>191</v>
      </c>
      <c r="F47" s="1" t="s">
        <v>20</v>
      </c>
      <c r="G47" s="1" t="s">
        <v>192</v>
      </c>
      <c r="H47" s="18" t="s">
        <v>193</v>
      </c>
    </row>
    <row r="48" spans="2:8" x14ac:dyDescent="0.3">
      <c r="B48" s="2">
        <v>45799.271871111108</v>
      </c>
      <c r="C48" s="1" t="s">
        <v>194</v>
      </c>
      <c r="D48" s="1" t="s">
        <v>195</v>
      </c>
      <c r="E48" s="1" t="s">
        <v>139</v>
      </c>
      <c r="F48" s="1" t="s">
        <v>20</v>
      </c>
      <c r="G48" s="1" t="s">
        <v>196</v>
      </c>
      <c r="H48" s="18" t="s">
        <v>197</v>
      </c>
    </row>
    <row r="49" spans="2:8" x14ac:dyDescent="0.3">
      <c r="B49" s="2">
        <v>45799.275130046299</v>
      </c>
      <c r="C49" s="1" t="s">
        <v>198</v>
      </c>
      <c r="D49" s="1" t="s">
        <v>199</v>
      </c>
      <c r="E49" s="1" t="s">
        <v>139</v>
      </c>
      <c r="F49" s="1" t="s">
        <v>20</v>
      </c>
      <c r="G49" s="1" t="s">
        <v>200</v>
      </c>
      <c r="H49" s="18" t="s">
        <v>201</v>
      </c>
    </row>
    <row r="50" spans="2:8" x14ac:dyDescent="0.3">
      <c r="B50" s="2">
        <v>45799.280007592592</v>
      </c>
      <c r="C50" s="1" t="s">
        <v>202</v>
      </c>
      <c r="D50" s="1" t="s">
        <v>203</v>
      </c>
      <c r="E50" s="1" t="s">
        <v>57</v>
      </c>
      <c r="F50" s="1" t="s">
        <v>15</v>
      </c>
      <c r="G50" s="1" t="s">
        <v>204</v>
      </c>
      <c r="H50" s="18" t="s">
        <v>205</v>
      </c>
    </row>
    <row r="51" spans="2:8" x14ac:dyDescent="0.3">
      <c r="B51" s="2">
        <v>45799.281407002323</v>
      </c>
      <c r="C51" s="1" t="s">
        <v>206</v>
      </c>
      <c r="D51" s="1">
        <v>7524</v>
      </c>
      <c r="E51" s="1" t="s">
        <v>207</v>
      </c>
      <c r="F51" s="1" t="s">
        <v>37</v>
      </c>
      <c r="G51" s="1" t="s">
        <v>208</v>
      </c>
      <c r="H51" s="18" t="s">
        <v>209</v>
      </c>
    </row>
    <row r="52" spans="2:8" x14ac:dyDescent="0.3">
      <c r="B52" s="2">
        <v>45799.281409293981</v>
      </c>
      <c r="C52" s="1" t="s">
        <v>210</v>
      </c>
      <c r="D52" s="1" t="s">
        <v>211</v>
      </c>
      <c r="E52" s="1" t="s">
        <v>28</v>
      </c>
      <c r="F52" s="1" t="s">
        <v>20</v>
      </c>
      <c r="G52" s="1" t="s">
        <v>212</v>
      </c>
      <c r="H52" s="18" t="s">
        <v>213</v>
      </c>
    </row>
    <row r="53" spans="2:8" x14ac:dyDescent="0.3">
      <c r="B53" s="2">
        <v>45799.287817118056</v>
      </c>
      <c r="C53" s="1" t="s">
        <v>214</v>
      </c>
      <c r="D53" s="1">
        <v>11507</v>
      </c>
      <c r="E53" s="1" t="s">
        <v>19</v>
      </c>
      <c r="F53" s="1" t="s">
        <v>20</v>
      </c>
      <c r="G53" s="1" t="s">
        <v>215</v>
      </c>
      <c r="H53" s="18" t="s">
        <v>216</v>
      </c>
    </row>
    <row r="54" spans="2:8" x14ac:dyDescent="0.3">
      <c r="B54" s="2">
        <v>45799.291320289347</v>
      </c>
      <c r="C54" s="1" t="s">
        <v>217</v>
      </c>
      <c r="D54" s="1">
        <v>7499</v>
      </c>
      <c r="E54" s="1" t="s">
        <v>139</v>
      </c>
      <c r="F54" s="1" t="s">
        <v>20</v>
      </c>
      <c r="G54" s="1" t="s">
        <v>218</v>
      </c>
      <c r="H54" s="18" t="s">
        <v>219</v>
      </c>
    </row>
    <row r="55" spans="2:8" x14ac:dyDescent="0.3">
      <c r="B55" s="2">
        <v>45799.294943287037</v>
      </c>
      <c r="C55" s="1" t="s">
        <v>220</v>
      </c>
      <c r="D55" s="1" t="s">
        <v>221</v>
      </c>
      <c r="E55" s="1" t="s">
        <v>28</v>
      </c>
      <c r="F55" s="1" t="s">
        <v>20</v>
      </c>
      <c r="G55" s="1" t="s">
        <v>222</v>
      </c>
      <c r="H55" s="18" t="s">
        <v>223</v>
      </c>
    </row>
    <row r="56" spans="2:8" x14ac:dyDescent="0.3">
      <c r="B56" s="2">
        <v>45799.300259791657</v>
      </c>
      <c r="C56" s="1" t="s">
        <v>224</v>
      </c>
      <c r="D56" s="1">
        <v>8247</v>
      </c>
      <c r="E56" s="1" t="s">
        <v>225</v>
      </c>
      <c r="F56" s="1" t="s">
        <v>37</v>
      </c>
      <c r="G56" s="1" t="s">
        <v>226</v>
      </c>
      <c r="H56" s="18" t="s">
        <v>227</v>
      </c>
    </row>
    <row r="57" spans="2:8" x14ac:dyDescent="0.3">
      <c r="B57" s="2">
        <v>45799.300304432873</v>
      </c>
      <c r="C57" s="1" t="s">
        <v>228</v>
      </c>
      <c r="D57" s="1" t="s">
        <v>229</v>
      </c>
      <c r="E57" s="1" t="s">
        <v>50</v>
      </c>
      <c r="F57" s="1" t="s">
        <v>15</v>
      </c>
      <c r="G57" s="1" t="s">
        <v>230</v>
      </c>
      <c r="H57" s="18" t="s">
        <v>231</v>
      </c>
    </row>
    <row r="58" spans="2:8" x14ac:dyDescent="0.3">
      <c r="B58" s="2">
        <v>45799.304207361107</v>
      </c>
      <c r="C58" s="1" t="s">
        <v>232</v>
      </c>
      <c r="D58" s="1" t="s">
        <v>233</v>
      </c>
      <c r="E58" s="1" t="s">
        <v>165</v>
      </c>
      <c r="F58" s="1" t="s">
        <v>15</v>
      </c>
      <c r="G58" s="1" t="s">
        <v>234</v>
      </c>
      <c r="H58" s="18" t="s">
        <v>235</v>
      </c>
    </row>
    <row r="59" spans="2:8" x14ac:dyDescent="0.3">
      <c r="B59" s="2">
        <v>45799.307604560177</v>
      </c>
      <c r="C59" s="1" t="s">
        <v>236</v>
      </c>
      <c r="D59" s="1" t="s">
        <v>237</v>
      </c>
      <c r="E59" s="1" t="s">
        <v>28</v>
      </c>
      <c r="F59" s="1" t="s">
        <v>20</v>
      </c>
      <c r="G59" s="1" t="s">
        <v>238</v>
      </c>
      <c r="H59" s="18" t="s">
        <v>239</v>
      </c>
    </row>
    <row r="60" spans="2:8" x14ac:dyDescent="0.3">
      <c r="B60" s="2">
        <v>45799.309223877317</v>
      </c>
      <c r="C60" s="1" t="s">
        <v>240</v>
      </c>
      <c r="D60" s="1">
        <v>7643</v>
      </c>
      <c r="E60" s="1" t="s">
        <v>241</v>
      </c>
      <c r="F60" s="1" t="s">
        <v>37</v>
      </c>
      <c r="G60" s="1" t="s">
        <v>242</v>
      </c>
      <c r="H60" s="18" t="s">
        <v>243</v>
      </c>
    </row>
    <row r="61" spans="2:8" x14ac:dyDescent="0.3">
      <c r="B61" s="2">
        <v>45799.31084471065</v>
      </c>
      <c r="C61" s="1" t="s">
        <v>244</v>
      </c>
      <c r="D61" s="1">
        <v>7637</v>
      </c>
      <c r="E61" s="1" t="s">
        <v>165</v>
      </c>
      <c r="F61" s="1" t="s">
        <v>37</v>
      </c>
      <c r="G61" s="1" t="s">
        <v>245</v>
      </c>
      <c r="H61" s="18" t="s">
        <v>246</v>
      </c>
    </row>
    <row r="62" spans="2:8" x14ac:dyDescent="0.3">
      <c r="B62" s="2">
        <v>45799.312977650457</v>
      </c>
      <c r="C62" s="1" t="s">
        <v>247</v>
      </c>
      <c r="D62" s="1" t="s">
        <v>248</v>
      </c>
      <c r="E62" s="1" t="s">
        <v>104</v>
      </c>
      <c r="F62" s="1" t="s">
        <v>10</v>
      </c>
      <c r="G62" s="1" t="s">
        <v>249</v>
      </c>
      <c r="H62" s="18" t="s">
        <v>250</v>
      </c>
    </row>
    <row r="63" spans="2:8" x14ac:dyDescent="0.3">
      <c r="B63" s="2">
        <v>45799.316593680553</v>
      </c>
      <c r="C63" s="1" t="s">
        <v>251</v>
      </c>
      <c r="D63" s="1" t="s">
        <v>252</v>
      </c>
      <c r="E63" s="1" t="s">
        <v>9</v>
      </c>
      <c r="F63" s="1" t="s">
        <v>10</v>
      </c>
      <c r="G63" s="1" t="s">
        <v>253</v>
      </c>
      <c r="H63" s="18" t="s">
        <v>254</v>
      </c>
    </row>
    <row r="64" spans="2:8" x14ac:dyDescent="0.3">
      <c r="B64" s="2">
        <v>45799.31787939815</v>
      </c>
      <c r="C64" s="1" t="s">
        <v>255</v>
      </c>
      <c r="D64" s="1">
        <v>11490</v>
      </c>
      <c r="E64" s="1" t="s">
        <v>57</v>
      </c>
      <c r="F64" s="1" t="s">
        <v>15</v>
      </c>
      <c r="G64" s="1" t="s">
        <v>256</v>
      </c>
      <c r="H64" s="18" t="s">
        <v>257</v>
      </c>
    </row>
    <row r="65" spans="2:8" x14ac:dyDescent="0.3">
      <c r="B65" s="2">
        <v>45799.319083182869</v>
      </c>
      <c r="C65" s="1" t="s">
        <v>258</v>
      </c>
      <c r="D65" s="1" t="s">
        <v>259</v>
      </c>
      <c r="E65" s="1" t="s">
        <v>57</v>
      </c>
      <c r="F65" s="1" t="s">
        <v>15</v>
      </c>
      <c r="G65" s="1" t="s">
        <v>260</v>
      </c>
      <c r="H65" s="18" t="s">
        <v>261</v>
      </c>
    </row>
    <row r="66" spans="2:8" x14ac:dyDescent="0.3">
      <c r="B66" s="2">
        <v>45799.321265162027</v>
      </c>
      <c r="C66" s="1" t="s">
        <v>262</v>
      </c>
      <c r="D66" s="1">
        <v>81041740</v>
      </c>
      <c r="E66" s="1" t="s">
        <v>135</v>
      </c>
      <c r="F66" s="1" t="s">
        <v>20</v>
      </c>
      <c r="G66" s="1" t="s">
        <v>263</v>
      </c>
      <c r="H66" s="18" t="s">
        <v>264</v>
      </c>
    </row>
    <row r="67" spans="2:8" x14ac:dyDescent="0.3">
      <c r="B67" s="2">
        <v>45799.323946122677</v>
      </c>
      <c r="C67" s="1" t="s">
        <v>265</v>
      </c>
      <c r="D67" s="1">
        <v>8343</v>
      </c>
      <c r="E67" s="1" t="s">
        <v>266</v>
      </c>
      <c r="F67" s="1" t="s">
        <v>37</v>
      </c>
      <c r="G67" s="1" t="s">
        <v>267</v>
      </c>
      <c r="H67" s="18" t="s">
        <v>268</v>
      </c>
    </row>
    <row r="68" spans="2:8" x14ac:dyDescent="0.3">
      <c r="B68" s="2">
        <v>45799.329285219908</v>
      </c>
      <c r="C68" s="1" t="s">
        <v>269</v>
      </c>
      <c r="D68" s="1">
        <v>10041</v>
      </c>
      <c r="E68" s="1" t="s">
        <v>270</v>
      </c>
      <c r="F68" s="1" t="s">
        <v>37</v>
      </c>
      <c r="G68" s="1" t="s">
        <v>271</v>
      </c>
      <c r="H68" s="18" t="s">
        <v>272</v>
      </c>
    </row>
    <row r="69" spans="2:8" x14ac:dyDescent="0.3">
      <c r="B69" s="2">
        <v>45799.33144396991</v>
      </c>
      <c r="C69" s="1" t="s">
        <v>273</v>
      </c>
      <c r="D69" s="1">
        <v>81032610</v>
      </c>
      <c r="E69" s="1" t="s">
        <v>274</v>
      </c>
      <c r="F69" s="1" t="s">
        <v>20</v>
      </c>
      <c r="G69" s="1" t="s">
        <v>275</v>
      </c>
      <c r="H69" s="18" t="s">
        <v>276</v>
      </c>
    </row>
    <row r="70" spans="2:8" x14ac:dyDescent="0.3">
      <c r="B70" s="2">
        <v>45799.331996458342</v>
      </c>
      <c r="C70" s="1" t="s">
        <v>277</v>
      </c>
      <c r="D70" s="1" t="s">
        <v>278</v>
      </c>
      <c r="E70" s="1" t="s">
        <v>165</v>
      </c>
      <c r="F70" s="1" t="s">
        <v>15</v>
      </c>
      <c r="G70" s="1" t="s">
        <v>279</v>
      </c>
      <c r="H70" s="18" t="s">
        <v>280</v>
      </c>
    </row>
    <row r="71" spans="2:8" x14ac:dyDescent="0.3">
      <c r="B71" s="2">
        <v>45799.335955613416</v>
      </c>
      <c r="C71" s="1" t="s">
        <v>281</v>
      </c>
      <c r="D71" s="1">
        <v>7085</v>
      </c>
      <c r="E71" s="1" t="s">
        <v>139</v>
      </c>
      <c r="F71" s="1" t="s">
        <v>20</v>
      </c>
      <c r="G71" s="1" t="s">
        <v>282</v>
      </c>
      <c r="H71" s="18" t="s">
        <v>283</v>
      </c>
    </row>
    <row r="72" spans="2:8" x14ac:dyDescent="0.3">
      <c r="B72" s="2">
        <v>45799.339591944437</v>
      </c>
      <c r="C72" s="1" t="s">
        <v>284</v>
      </c>
      <c r="D72" s="1" t="s">
        <v>285</v>
      </c>
      <c r="E72" s="1" t="s">
        <v>207</v>
      </c>
      <c r="F72" s="1" t="s">
        <v>10</v>
      </c>
      <c r="G72" s="1" t="s">
        <v>286</v>
      </c>
      <c r="H72" s="18" t="s">
        <v>287</v>
      </c>
    </row>
    <row r="73" spans="2:8" x14ac:dyDescent="0.3">
      <c r="B73" s="2">
        <v>45799.342303206016</v>
      </c>
      <c r="C73" s="1" t="s">
        <v>288</v>
      </c>
      <c r="D73" s="1" t="s">
        <v>289</v>
      </c>
      <c r="E73" s="1" t="s">
        <v>270</v>
      </c>
      <c r="F73" s="1" t="s">
        <v>37</v>
      </c>
      <c r="G73" s="1" t="s">
        <v>290</v>
      </c>
      <c r="H73" s="18" t="s">
        <v>291</v>
      </c>
    </row>
    <row r="74" spans="2:8" x14ac:dyDescent="0.3">
      <c r="B74" s="2">
        <v>45799.342399247682</v>
      </c>
      <c r="C74" s="1" t="s">
        <v>292</v>
      </c>
      <c r="D74" s="1" t="s">
        <v>293</v>
      </c>
      <c r="E74" s="1" t="s">
        <v>57</v>
      </c>
      <c r="F74" s="1" t="s">
        <v>15</v>
      </c>
      <c r="G74" s="1" t="s">
        <v>294</v>
      </c>
      <c r="H74" s="18" t="s">
        <v>295</v>
      </c>
    </row>
    <row r="75" spans="2:8" x14ac:dyDescent="0.3">
      <c r="B75" s="2">
        <v>45799.344062719909</v>
      </c>
      <c r="C75" s="1" t="s">
        <v>296</v>
      </c>
      <c r="D75" s="1" t="s">
        <v>297</v>
      </c>
      <c r="E75" s="1" t="s">
        <v>14</v>
      </c>
      <c r="F75" s="1" t="s">
        <v>15</v>
      </c>
      <c r="G75" s="1" t="s">
        <v>298</v>
      </c>
      <c r="H75" s="18" t="s">
        <v>299</v>
      </c>
    </row>
    <row r="76" spans="2:8" x14ac:dyDescent="0.3">
      <c r="B76" s="2">
        <v>45799.345546805547</v>
      </c>
      <c r="C76" s="1" t="s">
        <v>300</v>
      </c>
      <c r="D76" s="1">
        <v>81020054</v>
      </c>
      <c r="E76" s="1" t="s">
        <v>169</v>
      </c>
      <c r="F76" s="1" t="s">
        <v>20</v>
      </c>
      <c r="G76" s="1" t="s">
        <v>301</v>
      </c>
      <c r="H76" s="18" t="s">
        <v>302</v>
      </c>
    </row>
    <row r="77" spans="2:8" x14ac:dyDescent="0.3">
      <c r="B77" s="2">
        <v>45799.346149652767</v>
      </c>
      <c r="C77" s="1" t="s">
        <v>303</v>
      </c>
      <c r="D77" s="1" t="s">
        <v>304</v>
      </c>
      <c r="E77" s="1" t="s">
        <v>19</v>
      </c>
      <c r="F77" s="1" t="s">
        <v>20</v>
      </c>
      <c r="G77" s="1" t="s">
        <v>305</v>
      </c>
      <c r="H77" s="18" t="s">
        <v>306</v>
      </c>
    </row>
    <row r="78" spans="2:8" x14ac:dyDescent="0.3">
      <c r="B78" s="2">
        <v>45799.34633148148</v>
      </c>
      <c r="C78" s="1" t="s">
        <v>307</v>
      </c>
      <c r="D78" s="1">
        <v>7965</v>
      </c>
      <c r="E78" s="1" t="s">
        <v>308</v>
      </c>
      <c r="F78" s="1" t="s">
        <v>37</v>
      </c>
      <c r="G78" s="1" t="s">
        <v>309</v>
      </c>
      <c r="H78" s="18" t="s">
        <v>310</v>
      </c>
    </row>
    <row r="79" spans="2:8" x14ac:dyDescent="0.3">
      <c r="B79" s="2">
        <v>45799.350977233793</v>
      </c>
      <c r="C79" s="1" t="s">
        <v>311</v>
      </c>
      <c r="D79" s="1">
        <v>81055462</v>
      </c>
      <c r="E79" s="1" t="s">
        <v>312</v>
      </c>
      <c r="F79" s="1" t="s">
        <v>10</v>
      </c>
      <c r="G79" s="1" t="s">
        <v>313</v>
      </c>
      <c r="H79" s="18" t="s">
        <v>314</v>
      </c>
    </row>
    <row r="80" spans="2:8" x14ac:dyDescent="0.3">
      <c r="B80" s="2">
        <v>45799.351015995373</v>
      </c>
      <c r="C80" s="1" t="s">
        <v>315</v>
      </c>
      <c r="D80" s="1">
        <v>10415</v>
      </c>
      <c r="E80" s="1" t="s">
        <v>9</v>
      </c>
      <c r="F80" s="1" t="s">
        <v>10</v>
      </c>
      <c r="G80" s="1" t="s">
        <v>316</v>
      </c>
      <c r="H80" s="18" t="s">
        <v>317</v>
      </c>
    </row>
    <row r="81" spans="2:8" x14ac:dyDescent="0.3">
      <c r="B81" s="2">
        <v>45799.352682824072</v>
      </c>
      <c r="C81" s="1" t="s">
        <v>318</v>
      </c>
      <c r="D81" s="1" t="s">
        <v>319</v>
      </c>
      <c r="E81" s="1" t="s">
        <v>139</v>
      </c>
      <c r="F81" s="1" t="s">
        <v>20</v>
      </c>
      <c r="G81" s="1" t="s">
        <v>320</v>
      </c>
      <c r="H81" s="18" t="s">
        <v>321</v>
      </c>
    </row>
    <row r="82" spans="2:8" x14ac:dyDescent="0.3">
      <c r="B82" s="2">
        <v>45799.354287881943</v>
      </c>
      <c r="C82" s="1" t="s">
        <v>322</v>
      </c>
      <c r="D82" s="1" t="s">
        <v>323</v>
      </c>
      <c r="E82" s="1" t="s">
        <v>156</v>
      </c>
      <c r="F82" s="1" t="s">
        <v>20</v>
      </c>
      <c r="G82" s="1" t="s">
        <v>324</v>
      </c>
      <c r="H82" s="18" t="s">
        <v>325</v>
      </c>
    </row>
    <row r="83" spans="2:8" x14ac:dyDescent="0.3">
      <c r="B83" s="2">
        <v>45799.35957523148</v>
      </c>
      <c r="C83" s="1" t="s">
        <v>326</v>
      </c>
      <c r="D83" s="1" t="s">
        <v>327</v>
      </c>
      <c r="E83" s="1" t="s">
        <v>9</v>
      </c>
      <c r="F83" s="1" t="s">
        <v>10</v>
      </c>
      <c r="G83" s="1" t="s">
        <v>328</v>
      </c>
      <c r="H83" s="18" t="s">
        <v>329</v>
      </c>
    </row>
    <row r="84" spans="2:8" x14ac:dyDescent="0.3">
      <c r="B84" s="2">
        <v>45799.361984282397</v>
      </c>
      <c r="C84" s="1" t="s">
        <v>330</v>
      </c>
      <c r="D84" s="1" t="s">
        <v>331</v>
      </c>
      <c r="E84" s="1" t="s">
        <v>165</v>
      </c>
      <c r="F84" s="1" t="s">
        <v>15</v>
      </c>
      <c r="G84" s="1" t="s">
        <v>332</v>
      </c>
      <c r="H84" s="18" t="s">
        <v>333</v>
      </c>
    </row>
    <row r="85" spans="2:8" x14ac:dyDescent="0.3">
      <c r="B85" s="2">
        <v>45799.369851608797</v>
      </c>
      <c r="C85" s="1" t="s">
        <v>334</v>
      </c>
      <c r="D85" s="1" t="s">
        <v>335</v>
      </c>
      <c r="E85" s="1" t="s">
        <v>9</v>
      </c>
      <c r="F85" s="1" t="s">
        <v>10</v>
      </c>
      <c r="G85" s="1" t="s">
        <v>336</v>
      </c>
      <c r="H85" s="18" t="s">
        <v>337</v>
      </c>
    </row>
    <row r="86" spans="2:8" x14ac:dyDescent="0.3">
      <c r="B86" s="2">
        <v>45799.399162858797</v>
      </c>
      <c r="C86" s="1" t="s">
        <v>338</v>
      </c>
      <c r="D86" s="1">
        <v>5894</v>
      </c>
      <c r="E86" s="1" t="s">
        <v>9</v>
      </c>
      <c r="F86" s="1" t="s">
        <v>10</v>
      </c>
      <c r="G86" s="1" t="s">
        <v>339</v>
      </c>
      <c r="H86" s="18" t="s">
        <v>340</v>
      </c>
    </row>
    <row r="87" spans="2:8" x14ac:dyDescent="0.3">
      <c r="B87" s="2">
        <v>45799.401865636573</v>
      </c>
      <c r="C87" s="1" t="s">
        <v>341</v>
      </c>
      <c r="D87" s="1">
        <v>7967</v>
      </c>
      <c r="E87" s="1" t="s">
        <v>342</v>
      </c>
      <c r="F87" s="1" t="s">
        <v>37</v>
      </c>
      <c r="G87" s="1" t="s">
        <v>343</v>
      </c>
      <c r="H87" s="18" t="s">
        <v>344</v>
      </c>
    </row>
    <row r="88" spans="2:8" x14ac:dyDescent="0.3">
      <c r="B88" s="2">
        <v>45799.439423437499</v>
      </c>
      <c r="C88" s="1" t="s">
        <v>345</v>
      </c>
      <c r="D88" s="1" t="s">
        <v>346</v>
      </c>
      <c r="E88" s="1" t="s">
        <v>207</v>
      </c>
      <c r="F88" s="1" t="s">
        <v>10</v>
      </c>
      <c r="G88" s="1" t="s">
        <v>347</v>
      </c>
      <c r="H88" s="18" t="s">
        <v>348</v>
      </c>
    </row>
    <row r="89" spans="2:8" x14ac:dyDescent="0.3">
      <c r="B89" s="2">
        <v>45799.79509579861</v>
      </c>
      <c r="C89" s="1" t="s">
        <v>349</v>
      </c>
      <c r="D89" s="1">
        <v>81027028</v>
      </c>
      <c r="E89" s="1" t="s">
        <v>350</v>
      </c>
      <c r="F89" s="1" t="s">
        <v>15</v>
      </c>
      <c r="G89" s="1" t="s">
        <v>351</v>
      </c>
      <c r="H89" s="18" t="s">
        <v>352</v>
      </c>
    </row>
    <row r="90" spans="2:8" x14ac:dyDescent="0.3">
      <c r="B90" s="2">
        <v>45800.319674479157</v>
      </c>
      <c r="C90" s="1" t="s">
        <v>353</v>
      </c>
      <c r="D90" s="1" t="s">
        <v>354</v>
      </c>
      <c r="E90" s="1" t="s">
        <v>57</v>
      </c>
      <c r="F90" s="1" t="s">
        <v>15</v>
      </c>
      <c r="G90" s="1" t="s">
        <v>355</v>
      </c>
      <c r="H90" s="18" t="s">
        <v>356</v>
      </c>
    </row>
    <row r="91" spans="2:8" x14ac:dyDescent="0.3">
      <c r="B91" s="2">
        <v>45800.610494988417</v>
      </c>
      <c r="C91" s="1" t="s">
        <v>357</v>
      </c>
      <c r="D91" s="1">
        <v>6955</v>
      </c>
      <c r="E91" s="1" t="s">
        <v>24</v>
      </c>
      <c r="F91" s="1" t="s">
        <v>10</v>
      </c>
      <c r="G91" s="1" t="s">
        <v>358</v>
      </c>
      <c r="H91" s="18" t="s">
        <v>359</v>
      </c>
    </row>
    <row r="92" spans="2:8" x14ac:dyDescent="0.3">
      <c r="B92" s="2">
        <v>45800.644578634259</v>
      </c>
      <c r="C92" s="1" t="s">
        <v>360</v>
      </c>
      <c r="D92" s="1" t="s">
        <v>361</v>
      </c>
      <c r="E92" s="1" t="s">
        <v>9</v>
      </c>
      <c r="F92" s="1" t="s">
        <v>10</v>
      </c>
      <c r="G92" s="1" t="s">
        <v>362</v>
      </c>
      <c r="H92" s="18" t="s">
        <v>363</v>
      </c>
    </row>
    <row r="93" spans="2:8" x14ac:dyDescent="0.3">
      <c r="B93" s="2">
        <v>45803.262747719913</v>
      </c>
      <c r="C93" s="1" t="s">
        <v>364</v>
      </c>
      <c r="D93" s="1" t="s">
        <v>365</v>
      </c>
      <c r="E93" s="1" t="s">
        <v>156</v>
      </c>
      <c r="F93" s="1" t="s">
        <v>20</v>
      </c>
      <c r="G93" s="1" t="s">
        <v>366</v>
      </c>
      <c r="H93" s="18" t="s">
        <v>367</v>
      </c>
    </row>
    <row r="94" spans="2:8" x14ac:dyDescent="0.3">
      <c r="B94" s="2">
        <v>45807.566312314812</v>
      </c>
      <c r="C94" s="1" t="s">
        <v>368</v>
      </c>
      <c r="D94" s="1">
        <v>7799</v>
      </c>
      <c r="E94" s="1" t="s">
        <v>369</v>
      </c>
      <c r="F94" s="1" t="s">
        <v>37</v>
      </c>
      <c r="G94" s="1" t="s">
        <v>370</v>
      </c>
      <c r="H94" s="18" t="s">
        <v>371</v>
      </c>
    </row>
    <row r="95" spans="2:8" x14ac:dyDescent="0.3">
      <c r="B95" s="2">
        <v>45807.569360972222</v>
      </c>
      <c r="C95" s="1" t="s">
        <v>372</v>
      </c>
      <c r="D95" s="1">
        <v>7966</v>
      </c>
      <c r="E95" s="1" t="s">
        <v>369</v>
      </c>
      <c r="F95" s="1" t="s">
        <v>37</v>
      </c>
      <c r="G95" s="1" t="s">
        <v>373</v>
      </c>
      <c r="H95" s="18" t="s">
        <v>374</v>
      </c>
    </row>
    <row r="96" spans="2:8" x14ac:dyDescent="0.3">
      <c r="B96" s="6">
        <v>45807.569360972222</v>
      </c>
      <c r="C96" s="1" t="s">
        <v>375</v>
      </c>
      <c r="D96" s="1">
        <v>6960</v>
      </c>
      <c r="E96" s="1" t="s">
        <v>9</v>
      </c>
      <c r="F96" s="1" t="s">
        <v>10</v>
      </c>
      <c r="G96" s="1" t="s">
        <v>376</v>
      </c>
      <c r="H96" s="18" t="s">
        <v>377</v>
      </c>
    </row>
    <row r="97" spans="2:8" x14ac:dyDescent="0.3">
      <c r="B97" s="2">
        <v>45807.654188263892</v>
      </c>
      <c r="C97" s="1" t="s">
        <v>378</v>
      </c>
      <c r="D97" s="1">
        <v>7641</v>
      </c>
      <c r="E97" s="1" t="s">
        <v>379</v>
      </c>
      <c r="F97" s="1" t="s">
        <v>37</v>
      </c>
      <c r="G97" s="1" t="s">
        <v>380</v>
      </c>
      <c r="H97" s="18" t="s">
        <v>381</v>
      </c>
    </row>
    <row r="98" spans="2:8" x14ac:dyDescent="0.3">
      <c r="B98" s="2">
        <v>45828.395344004632</v>
      </c>
      <c r="C98" s="1" t="s">
        <v>382</v>
      </c>
      <c r="D98" s="1">
        <v>7999</v>
      </c>
      <c r="E98" s="1" t="s">
        <v>383</v>
      </c>
      <c r="F98" s="1" t="s">
        <v>15</v>
      </c>
      <c r="G98" s="1" t="s">
        <v>384</v>
      </c>
      <c r="H98" s="18" t="s">
        <v>385</v>
      </c>
    </row>
    <row r="99" spans="2:8" x14ac:dyDescent="0.3">
      <c r="B99" s="2">
        <v>45828.399925949067</v>
      </c>
      <c r="C99" s="1" t="s">
        <v>386</v>
      </c>
      <c r="D99" s="1">
        <v>8374</v>
      </c>
      <c r="E99" s="1" t="s">
        <v>387</v>
      </c>
      <c r="F99" s="1" t="s">
        <v>15</v>
      </c>
      <c r="G99" s="1" t="s">
        <v>388</v>
      </c>
      <c r="H99" s="18" t="s">
        <v>389</v>
      </c>
    </row>
    <row r="100" spans="2:8" x14ac:dyDescent="0.3">
      <c r="B100" s="2">
        <v>45828.40403341435</v>
      </c>
      <c r="C100" s="1" t="s">
        <v>390</v>
      </c>
      <c r="D100" s="1" t="s">
        <v>391</v>
      </c>
      <c r="E100" s="1" t="s">
        <v>165</v>
      </c>
      <c r="F100" s="1" t="s">
        <v>15</v>
      </c>
      <c r="G100" s="1" t="s">
        <v>392</v>
      </c>
      <c r="H100" s="18" t="s">
        <v>393</v>
      </c>
    </row>
    <row r="101" spans="2:8" x14ac:dyDescent="0.3">
      <c r="B101" s="2">
        <v>45828.409288194453</v>
      </c>
      <c r="C101" s="1" t="s">
        <v>394</v>
      </c>
      <c r="D101" s="1" t="s">
        <v>395</v>
      </c>
      <c r="E101" s="1" t="s">
        <v>165</v>
      </c>
      <c r="F101" s="1" t="s">
        <v>15</v>
      </c>
      <c r="G101" s="1" t="s">
        <v>396</v>
      </c>
      <c r="H101" s="18" t="s">
        <v>397</v>
      </c>
    </row>
    <row r="102" spans="2:8" x14ac:dyDescent="0.3">
      <c r="B102" s="2">
        <v>45828.41517133102</v>
      </c>
      <c r="C102" s="1" t="s">
        <v>398</v>
      </c>
      <c r="D102" s="1" t="s">
        <v>399</v>
      </c>
      <c r="E102" s="1" t="s">
        <v>165</v>
      </c>
      <c r="F102" s="1" t="s">
        <v>15</v>
      </c>
      <c r="G102" s="1" t="s">
        <v>400</v>
      </c>
      <c r="H102" s="18" t="s">
        <v>401</v>
      </c>
    </row>
    <row r="103" spans="2:8" x14ac:dyDescent="0.3">
      <c r="B103" s="2">
        <v>45828.462980937496</v>
      </c>
      <c r="C103" s="1" t="s">
        <v>402</v>
      </c>
      <c r="D103" s="1" t="s">
        <v>403</v>
      </c>
      <c r="E103" s="1" t="s">
        <v>28</v>
      </c>
      <c r="F103" s="1" t="s">
        <v>20</v>
      </c>
      <c r="G103" s="1" t="s">
        <v>404</v>
      </c>
      <c r="H103" s="18" t="s">
        <v>405</v>
      </c>
    </row>
    <row r="104" spans="2:8" x14ac:dyDescent="0.3">
      <c r="B104" s="2">
        <v>45828.551173194443</v>
      </c>
      <c r="C104" s="1" t="s">
        <v>406</v>
      </c>
      <c r="D104" s="1">
        <v>7998</v>
      </c>
      <c r="E104" s="1" t="s">
        <v>407</v>
      </c>
      <c r="F104" s="1" t="s">
        <v>15</v>
      </c>
      <c r="G104" s="1" t="s">
        <v>408</v>
      </c>
      <c r="H104" s="18" t="s">
        <v>409</v>
      </c>
    </row>
    <row r="105" spans="2:8" x14ac:dyDescent="0.3">
      <c r="B105" s="2">
        <v>45828.553324305547</v>
      </c>
      <c r="C105" s="1" t="s">
        <v>410</v>
      </c>
      <c r="D105" s="1" t="s">
        <v>411</v>
      </c>
      <c r="E105" s="1" t="s">
        <v>50</v>
      </c>
      <c r="F105" s="1" t="s">
        <v>15</v>
      </c>
      <c r="G105" s="1" t="s">
        <v>412</v>
      </c>
      <c r="H105" s="18" t="s">
        <v>413</v>
      </c>
    </row>
    <row r="106" spans="2:8" x14ac:dyDescent="0.3">
      <c r="B106" s="2">
        <v>45828.557613449077</v>
      </c>
      <c r="C106" s="1" t="s">
        <v>414</v>
      </c>
      <c r="D106" s="1" t="s">
        <v>415</v>
      </c>
      <c r="E106" s="1" t="s">
        <v>416</v>
      </c>
      <c r="F106" s="1" t="s">
        <v>10</v>
      </c>
      <c r="G106" s="1" t="s">
        <v>417</v>
      </c>
      <c r="H106" s="18" t="s">
        <v>418</v>
      </c>
    </row>
    <row r="107" spans="2:8" x14ac:dyDescent="0.3">
      <c r="B107" s="2">
        <v>45828.612609826392</v>
      </c>
      <c r="C107" s="1" t="s">
        <v>419</v>
      </c>
      <c r="D107" s="1" t="s">
        <v>420</v>
      </c>
      <c r="E107" s="1" t="s">
        <v>421</v>
      </c>
      <c r="F107" s="1" t="s">
        <v>15</v>
      </c>
      <c r="G107" s="1" t="s">
        <v>422</v>
      </c>
      <c r="H107" s="18" t="s">
        <v>423</v>
      </c>
    </row>
    <row r="108" spans="2:8" x14ac:dyDescent="0.3">
      <c r="B108" s="2">
        <v>45828.661305057867</v>
      </c>
      <c r="C108" s="1" t="s">
        <v>424</v>
      </c>
      <c r="D108" s="1">
        <v>81047725</v>
      </c>
      <c r="E108" s="1" t="s">
        <v>50</v>
      </c>
      <c r="F108" s="1" t="s">
        <v>15</v>
      </c>
      <c r="G108" s="1" t="s">
        <v>425</v>
      </c>
      <c r="H108" s="18" t="s">
        <v>426</v>
      </c>
    </row>
    <row r="109" spans="2:8" x14ac:dyDescent="0.3">
      <c r="B109" s="2">
        <v>45831.322991655092</v>
      </c>
      <c r="C109" s="1" t="s">
        <v>427</v>
      </c>
      <c r="D109" s="1" t="s">
        <v>428</v>
      </c>
      <c r="E109" s="1" t="s">
        <v>135</v>
      </c>
      <c r="F109" s="1" t="s">
        <v>20</v>
      </c>
      <c r="G109" s="1" t="s">
        <v>429</v>
      </c>
      <c r="H109" s="18" t="s">
        <v>430</v>
      </c>
    </row>
    <row r="110" spans="2:8" x14ac:dyDescent="0.3">
      <c r="B110" s="2">
        <v>45831.358972499998</v>
      </c>
      <c r="C110" s="1" t="s">
        <v>431</v>
      </c>
      <c r="D110" s="1">
        <v>7495</v>
      </c>
      <c r="E110" s="1" t="s">
        <v>432</v>
      </c>
      <c r="F110" s="1" t="s">
        <v>10</v>
      </c>
      <c r="G110" s="1" t="s">
        <v>433</v>
      </c>
      <c r="H110" s="18" t="s">
        <v>434</v>
      </c>
    </row>
    <row r="111" spans="2:8" x14ac:dyDescent="0.3">
      <c r="B111" s="2">
        <v>45838.499988078707</v>
      </c>
      <c r="C111" s="1" t="s">
        <v>435</v>
      </c>
      <c r="D111" s="1" t="s">
        <v>436</v>
      </c>
      <c r="E111" s="1" t="s">
        <v>165</v>
      </c>
      <c r="F111" s="1" t="s">
        <v>20</v>
      </c>
      <c r="G111" s="1" t="s">
        <v>437</v>
      </c>
      <c r="H111" s="18" t="s">
        <v>438</v>
      </c>
    </row>
    <row r="112" spans="2:8" x14ac:dyDescent="0.3">
      <c r="B112" s="2">
        <v>45838.517093865739</v>
      </c>
      <c r="C112" s="1" t="s">
        <v>439</v>
      </c>
      <c r="D112" s="1">
        <v>7770</v>
      </c>
      <c r="E112" s="1" t="s">
        <v>440</v>
      </c>
      <c r="F112" s="1" t="s">
        <v>10</v>
      </c>
      <c r="G112" s="1" t="s">
        <v>441</v>
      </c>
      <c r="H112" s="18" t="s">
        <v>442</v>
      </c>
    </row>
    <row r="113" spans="2:8" x14ac:dyDescent="0.3">
      <c r="B113" s="2">
        <v>45838.617115671303</v>
      </c>
      <c r="C113" s="1" t="s">
        <v>443</v>
      </c>
      <c r="D113" s="1">
        <v>5896</v>
      </c>
      <c r="E113" s="1" t="s">
        <v>24</v>
      </c>
      <c r="F113" s="1" t="s">
        <v>10</v>
      </c>
      <c r="G113" s="1" t="s">
        <v>444</v>
      </c>
      <c r="H113" s="18" t="s">
        <v>445</v>
      </c>
    </row>
    <row r="114" spans="2:8" x14ac:dyDescent="0.3">
      <c r="B114" s="2">
        <v>45838.617115671303</v>
      </c>
      <c r="C114" s="1" t="s">
        <v>446</v>
      </c>
      <c r="D114" s="1">
        <v>7962</v>
      </c>
      <c r="E114" s="1" t="s">
        <v>369</v>
      </c>
      <c r="F114" s="1" t="s">
        <v>37</v>
      </c>
      <c r="G114" s="11" t="s">
        <v>447</v>
      </c>
      <c r="H114" s="18" t="s">
        <v>448</v>
      </c>
    </row>
    <row r="115" spans="2:8" x14ac:dyDescent="0.3">
      <c r="B115" s="2">
        <v>45838.617115671303</v>
      </c>
      <c r="C115" s="1" t="s">
        <v>449</v>
      </c>
      <c r="D115" s="1">
        <v>10055</v>
      </c>
      <c r="E115" s="1" t="s">
        <v>369</v>
      </c>
      <c r="F115" s="1" t="s">
        <v>37</v>
      </c>
      <c r="G115" s="11" t="s">
        <v>450</v>
      </c>
      <c r="H115" s="18" t="s">
        <v>451</v>
      </c>
    </row>
    <row r="116" spans="2:8" x14ac:dyDescent="0.3">
      <c r="B116" s="2">
        <v>45838.617115671303</v>
      </c>
      <c r="C116" s="1" t="s">
        <v>452</v>
      </c>
      <c r="D116" s="1">
        <v>10056</v>
      </c>
      <c r="E116" s="1" t="s">
        <v>369</v>
      </c>
      <c r="F116" s="1" t="s">
        <v>37</v>
      </c>
      <c r="G116" s="11" t="s">
        <v>453</v>
      </c>
      <c r="H116" s="18" t="s">
        <v>454</v>
      </c>
    </row>
    <row r="117" spans="2:8" x14ac:dyDescent="0.3">
      <c r="B117" s="2">
        <v>45838.617115671303</v>
      </c>
      <c r="C117" s="1" t="s">
        <v>455</v>
      </c>
      <c r="D117" s="1">
        <v>10057</v>
      </c>
      <c r="E117" s="1" t="s">
        <v>369</v>
      </c>
      <c r="F117" s="1" t="s">
        <v>37</v>
      </c>
      <c r="G117" s="11" t="s">
        <v>456</v>
      </c>
      <c r="H117" s="18" t="s">
        <v>457</v>
      </c>
    </row>
    <row r="118" spans="2:8" x14ac:dyDescent="0.3">
      <c r="B118" s="2">
        <v>45838.617115671303</v>
      </c>
      <c r="C118" s="1" t="s">
        <v>458</v>
      </c>
      <c r="D118" s="1">
        <v>10478</v>
      </c>
      <c r="E118" s="1" t="s">
        <v>369</v>
      </c>
      <c r="F118" s="1" t="s">
        <v>37</v>
      </c>
      <c r="G118" s="11" t="s">
        <v>459</v>
      </c>
      <c r="H118" s="18" t="s">
        <v>460</v>
      </c>
    </row>
    <row r="119" spans="2:8" x14ac:dyDescent="0.3">
      <c r="B119" s="2">
        <v>45838.617115671303</v>
      </c>
      <c r="C119" s="1" t="s">
        <v>461</v>
      </c>
      <c r="D119" s="1">
        <v>7963</v>
      </c>
      <c r="E119" s="1" t="s">
        <v>369</v>
      </c>
      <c r="F119" s="1" t="s">
        <v>37</v>
      </c>
      <c r="G119" s="11" t="s">
        <v>462</v>
      </c>
      <c r="H119" s="18" t="s">
        <v>463</v>
      </c>
    </row>
    <row r="120" spans="2:8" x14ac:dyDescent="0.3">
      <c r="B120" s="2">
        <v>45838.617115671303</v>
      </c>
      <c r="C120" s="1" t="s">
        <v>464</v>
      </c>
      <c r="D120" s="1">
        <v>7964</v>
      </c>
      <c r="E120" s="1" t="s">
        <v>465</v>
      </c>
      <c r="F120" s="1" t="s">
        <v>37</v>
      </c>
      <c r="G120" s="11" t="s">
        <v>466</v>
      </c>
      <c r="H120" s="18" t="s">
        <v>467</v>
      </c>
    </row>
    <row r="121" spans="2:8" x14ac:dyDescent="0.3">
      <c r="B121" s="2">
        <v>45838.617115671303</v>
      </c>
      <c r="C121" s="1" t="s">
        <v>468</v>
      </c>
      <c r="D121" s="1">
        <v>7978</v>
      </c>
      <c r="E121" s="1" t="s">
        <v>369</v>
      </c>
      <c r="F121" s="1" t="s">
        <v>37</v>
      </c>
      <c r="G121" s="11" t="s">
        <v>469</v>
      </c>
      <c r="H121" s="18" t="s">
        <v>470</v>
      </c>
    </row>
    <row r="122" spans="2:8" x14ac:dyDescent="0.3">
      <c r="B122" s="2">
        <v>45838.617115671303</v>
      </c>
      <c r="C122" s="1" t="s">
        <v>471</v>
      </c>
      <c r="D122" s="1">
        <v>7718</v>
      </c>
      <c r="E122" s="1" t="s">
        <v>472</v>
      </c>
      <c r="F122" s="1" t="s">
        <v>37</v>
      </c>
      <c r="G122" s="11" t="s">
        <v>473</v>
      </c>
      <c r="H122" s="18" t="s">
        <v>474</v>
      </c>
    </row>
    <row r="123" spans="2:8" x14ac:dyDescent="0.3">
      <c r="B123" s="2">
        <v>45838.617115671303</v>
      </c>
      <c r="C123" s="1" t="s">
        <v>475</v>
      </c>
      <c r="D123" s="1">
        <v>81043182</v>
      </c>
      <c r="E123" s="1" t="s">
        <v>465</v>
      </c>
      <c r="F123" s="1" t="s">
        <v>37</v>
      </c>
      <c r="G123" s="11" t="s">
        <v>476</v>
      </c>
      <c r="H123" s="18" t="s">
        <v>477</v>
      </c>
    </row>
    <row r="124" spans="2:8" x14ac:dyDescent="0.3">
      <c r="B124" s="2">
        <v>45838.617115671303</v>
      </c>
      <c r="C124" s="1" t="s">
        <v>478</v>
      </c>
      <c r="D124" s="1">
        <v>8029</v>
      </c>
      <c r="E124" s="1" t="s">
        <v>479</v>
      </c>
      <c r="F124" s="1" t="s">
        <v>480</v>
      </c>
      <c r="G124" s="11" t="s">
        <v>481</v>
      </c>
      <c r="H124" s="18" t="s">
        <v>482</v>
      </c>
    </row>
    <row r="125" spans="2:8" x14ac:dyDescent="0.3">
      <c r="B125" s="2">
        <v>45838.617115671303</v>
      </c>
      <c r="C125" s="1" t="s">
        <v>483</v>
      </c>
      <c r="D125" s="1">
        <v>5793</v>
      </c>
      <c r="E125" s="1" t="s">
        <v>484</v>
      </c>
      <c r="F125" s="1" t="s">
        <v>37</v>
      </c>
      <c r="G125" s="10" t="s">
        <v>485</v>
      </c>
      <c r="H125" s="18" t="s">
        <v>486</v>
      </c>
    </row>
    <row r="126" spans="2:8" x14ac:dyDescent="0.3">
      <c r="B126" s="2">
        <v>45839</v>
      </c>
      <c r="C126" s="1" t="s">
        <v>487</v>
      </c>
      <c r="D126" s="1" t="s">
        <v>488</v>
      </c>
      <c r="E126" s="1" t="s">
        <v>57</v>
      </c>
      <c r="F126" s="1" t="s">
        <v>15</v>
      </c>
      <c r="G126" s="10" t="s">
        <v>489</v>
      </c>
      <c r="H126" s="18" t="s">
        <v>490</v>
      </c>
    </row>
    <row r="127" spans="2:8" x14ac:dyDescent="0.3">
      <c r="B127" s="2">
        <v>45951.617118055547</v>
      </c>
      <c r="C127" s="1" t="s">
        <v>491</v>
      </c>
      <c r="D127" s="1" t="s">
        <v>492</v>
      </c>
      <c r="E127" s="1" t="s">
        <v>50</v>
      </c>
      <c r="F127" s="1" t="s">
        <v>15</v>
      </c>
      <c r="G127" s="10" t="s">
        <v>493</v>
      </c>
      <c r="H127" s="18" t="s">
        <v>494</v>
      </c>
    </row>
    <row r="128" spans="2:8" x14ac:dyDescent="0.3">
      <c r="B128" s="2">
        <v>45965</v>
      </c>
      <c r="C128" s="1" t="s">
        <v>495</v>
      </c>
      <c r="D128" s="1">
        <v>81042860</v>
      </c>
      <c r="E128" s="1" t="s">
        <v>104</v>
      </c>
      <c r="F128" s="1" t="s">
        <v>10</v>
      </c>
      <c r="G128" s="10" t="s">
        <v>496</v>
      </c>
      <c r="H128" s="18" t="s">
        <v>497</v>
      </c>
    </row>
    <row r="129" spans="2:8" x14ac:dyDescent="0.3">
      <c r="B129" s="2">
        <v>46063</v>
      </c>
      <c r="C129" s="1" t="s">
        <v>498</v>
      </c>
      <c r="D129" s="1" t="s">
        <v>499</v>
      </c>
      <c r="E129" s="1" t="s">
        <v>57</v>
      </c>
      <c r="F129" s="1" t="s">
        <v>15</v>
      </c>
      <c r="G129" s="10" t="s">
        <v>500</v>
      </c>
      <c r="H129" s="18" t="s">
        <v>501</v>
      </c>
    </row>
    <row r="130" spans="2:8" x14ac:dyDescent="0.3">
      <c r="B130" s="2">
        <v>46063</v>
      </c>
      <c r="C130" s="1" t="s">
        <v>502</v>
      </c>
      <c r="D130" s="1" t="s">
        <v>503</v>
      </c>
      <c r="E130" s="1" t="s">
        <v>270</v>
      </c>
      <c r="F130" s="1" t="s">
        <v>37</v>
      </c>
      <c r="G130" s="10" t="s">
        <v>504</v>
      </c>
      <c r="H130" s="18" t="s">
        <v>505</v>
      </c>
    </row>
    <row r="131" spans="2:8" x14ac:dyDescent="0.3">
      <c r="B131" s="2">
        <v>46063</v>
      </c>
      <c r="C131" s="1" t="s">
        <v>506</v>
      </c>
      <c r="D131" s="1">
        <v>81042441</v>
      </c>
      <c r="E131" s="1" t="s">
        <v>407</v>
      </c>
      <c r="F131" s="1" t="s">
        <v>15</v>
      </c>
      <c r="G131" s="1" t="s">
        <v>507</v>
      </c>
      <c r="H131" s="18" t="s">
        <v>508</v>
      </c>
    </row>
    <row r="132" spans="2:8" x14ac:dyDescent="0.3">
      <c r="B132" s="2">
        <v>46063</v>
      </c>
      <c r="C132" s="1" t="s">
        <v>509</v>
      </c>
      <c r="D132" s="1" t="s">
        <v>510</v>
      </c>
      <c r="E132" s="1" t="s">
        <v>135</v>
      </c>
      <c r="F132" s="1" t="s">
        <v>20</v>
      </c>
      <c r="G132" s="10" t="s">
        <v>511</v>
      </c>
      <c r="H132" s="18" t="s">
        <v>512</v>
      </c>
    </row>
    <row r="133" spans="2:8" x14ac:dyDescent="0.3">
      <c r="B133" s="2">
        <v>46063</v>
      </c>
      <c r="C133" s="1" t="s">
        <v>513</v>
      </c>
      <c r="D133" s="1" t="s">
        <v>514</v>
      </c>
      <c r="E133" s="1" t="s">
        <v>156</v>
      </c>
      <c r="F133" s="1" t="s">
        <v>20</v>
      </c>
      <c r="G133" s="14" t="s">
        <v>515</v>
      </c>
      <c r="H133" s="18" t="s">
        <v>516</v>
      </c>
    </row>
  </sheetData>
  <hyperlinks>
    <hyperlink ref="G96" r:id="rId1" xr:uid="{00000000-0004-0000-0000-000000000000}"/>
    <hyperlink ref="G114" r:id="rId2" xr:uid="{00000000-0004-0000-0000-000001000000}"/>
    <hyperlink ref="G115" r:id="rId3" xr:uid="{00000000-0004-0000-0000-000002000000}"/>
    <hyperlink ref="G116" r:id="rId4" xr:uid="{00000000-0004-0000-0000-000003000000}"/>
    <hyperlink ref="G117" r:id="rId5" xr:uid="{00000000-0004-0000-0000-000004000000}"/>
    <hyperlink ref="G118" r:id="rId6" xr:uid="{00000000-0004-0000-0000-000005000000}"/>
    <hyperlink ref="G119" r:id="rId7" xr:uid="{00000000-0004-0000-0000-000006000000}"/>
    <hyperlink ref="G120" r:id="rId8" xr:uid="{00000000-0004-0000-0000-000007000000}"/>
    <hyperlink ref="G121" r:id="rId9" xr:uid="{00000000-0004-0000-0000-000008000000}"/>
    <hyperlink ref="G122" r:id="rId10" xr:uid="{00000000-0004-0000-0000-000009000000}"/>
    <hyperlink ref="G123" r:id="rId11" xr:uid="{00000000-0004-0000-0000-00000A000000}"/>
    <hyperlink ref="G124" r:id="rId12" xr:uid="{00000000-0004-0000-0000-00000B000000}"/>
    <hyperlink ref="G125" r:id="rId13" xr:uid="{00000000-0004-0000-0000-00000C000000}"/>
    <hyperlink ref="G126" r:id="rId14" display="Abdul.Jabbar@vale.com" xr:uid="{00000000-0004-0000-0000-00000D000000}"/>
    <hyperlink ref="G127" r:id="rId15" xr:uid="{00000000-0004-0000-0000-00000E000000}"/>
    <hyperlink ref="G128" r:id="rId16" xr:uid="{00000000-0004-0000-0000-00000F000000}"/>
    <hyperlink ref="G132" r:id="rId17" xr:uid="{00000000-0004-0000-0000-000010000000}"/>
  </hyperlinks>
  <pageMargins left="0.7" right="0.7" top="0.75" bottom="0.75" header="0.3" footer="0.3"/>
  <tableParts count="1">
    <tablePart r:id="rId1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B3"/>
  <sheetViews>
    <sheetView workbookViewId="0">
      <selection activeCell="A3" sqref="A3:XFD3"/>
    </sheetView>
  </sheetViews>
  <sheetFormatPr defaultRowHeight="14.4" x14ac:dyDescent="0.3"/>
  <sheetData>
    <row r="1" spans="2:28" x14ac:dyDescent="0.3">
      <c r="B1" s="2">
        <v>45799.334993946759</v>
      </c>
      <c r="C1" s="1" t="s">
        <v>517</v>
      </c>
      <c r="D1" s="1" t="s">
        <v>518</v>
      </c>
      <c r="E1" s="1" t="s">
        <v>270</v>
      </c>
      <c r="F1" s="1" t="s">
        <v>37</v>
      </c>
      <c r="G1" s="1" t="s">
        <v>519</v>
      </c>
      <c r="H1" s="1" t="s">
        <v>520</v>
      </c>
      <c r="I1" s="1" t="s">
        <v>521</v>
      </c>
      <c r="J1" s="1" t="s">
        <v>522</v>
      </c>
      <c r="K1" s="1" t="s">
        <v>523</v>
      </c>
      <c r="L1" s="3">
        <v>35415</v>
      </c>
      <c r="M1" s="1" t="s">
        <v>524</v>
      </c>
      <c r="N1" s="1" t="s">
        <v>525</v>
      </c>
      <c r="O1" s="1">
        <v>2020</v>
      </c>
      <c r="P1" s="1" t="s">
        <v>526</v>
      </c>
      <c r="Q1" s="4" t="e">
        <f>2026-#REF!</f>
        <v>#REF!</v>
      </c>
      <c r="R1" s="4" t="e">
        <f>YEAR(#REF!)</f>
        <v>#REF!</v>
      </c>
      <c r="S1" s="5" t="e">
        <f>2025-#REF!</f>
        <v>#REF!</v>
      </c>
      <c r="T1" s="1" t="s">
        <v>527</v>
      </c>
      <c r="U1" s="1" t="s">
        <v>528</v>
      </c>
      <c r="V1" s="1" t="s">
        <v>529</v>
      </c>
      <c r="W1" s="1" t="s">
        <v>530</v>
      </c>
      <c r="X1" s="8" t="s">
        <v>531</v>
      </c>
      <c r="Y1" s="13" t="s">
        <v>532</v>
      </c>
      <c r="Z1" s="8"/>
    </row>
    <row r="2" spans="2:28" x14ac:dyDescent="0.3">
      <c r="B2" s="2">
        <v>45798.657393020832</v>
      </c>
      <c r="C2" s="1" t="s">
        <v>533</v>
      </c>
      <c r="D2" s="1" t="s">
        <v>534</v>
      </c>
      <c r="E2" s="1" t="s">
        <v>14</v>
      </c>
      <c r="F2" s="1" t="s">
        <v>15</v>
      </c>
      <c r="G2" s="1" t="s">
        <v>519</v>
      </c>
      <c r="H2" s="1" t="s">
        <v>535</v>
      </c>
      <c r="I2" s="1" t="s">
        <v>536</v>
      </c>
      <c r="J2" s="1" t="s">
        <v>537</v>
      </c>
      <c r="K2" s="1" t="s">
        <v>538</v>
      </c>
      <c r="L2" s="3">
        <v>36713</v>
      </c>
      <c r="M2" s="1" t="s">
        <v>536</v>
      </c>
      <c r="N2" s="1" t="s">
        <v>525</v>
      </c>
      <c r="O2" s="1">
        <v>2022</v>
      </c>
      <c r="P2" s="1" t="s">
        <v>539</v>
      </c>
      <c r="Q2" s="4" t="e">
        <f>2026-#REF!</f>
        <v>#REF!</v>
      </c>
      <c r="R2" s="4" t="e">
        <f>YEAR(#REF!)</f>
        <v>#REF!</v>
      </c>
      <c r="S2" s="5" t="e">
        <f>2025-#REF!</f>
        <v>#REF!</v>
      </c>
      <c r="T2" s="1" t="s">
        <v>527</v>
      </c>
      <c r="U2" s="1" t="s">
        <v>540</v>
      </c>
      <c r="V2" s="1" t="s">
        <v>541</v>
      </c>
      <c r="W2" s="1" t="s">
        <v>530</v>
      </c>
      <c r="X2" s="8" t="s">
        <v>531</v>
      </c>
      <c r="Y2" s="13" t="s">
        <v>532</v>
      </c>
      <c r="Z2" s="8"/>
      <c r="AA2" t="s">
        <v>542</v>
      </c>
      <c r="AB2">
        <v>19</v>
      </c>
    </row>
    <row r="3" spans="2:28" x14ac:dyDescent="0.3">
      <c r="B3" s="2">
        <v>45798.669838136571</v>
      </c>
      <c r="C3" s="1" t="s">
        <v>543</v>
      </c>
      <c r="D3" s="1">
        <v>7168</v>
      </c>
      <c r="E3" s="1" t="s">
        <v>342</v>
      </c>
      <c r="F3" s="1" t="s">
        <v>10</v>
      </c>
      <c r="G3" s="1" t="s">
        <v>544</v>
      </c>
      <c r="H3" s="1" t="s">
        <v>545</v>
      </c>
      <c r="I3" s="1" t="s">
        <v>546</v>
      </c>
      <c r="J3" s="1" t="s">
        <v>547</v>
      </c>
      <c r="K3" s="1" t="s">
        <v>548</v>
      </c>
      <c r="L3" s="3">
        <v>26646</v>
      </c>
      <c r="M3" s="1" t="s">
        <v>549</v>
      </c>
      <c r="N3" s="1" t="s">
        <v>550</v>
      </c>
      <c r="O3" s="1">
        <v>2003</v>
      </c>
      <c r="P3" s="1" t="s">
        <v>551</v>
      </c>
      <c r="Q3" s="4" t="e">
        <f>2026-#REF!</f>
        <v>#REF!</v>
      </c>
      <c r="R3" s="4" t="e">
        <f>YEAR(#REF!)</f>
        <v>#REF!</v>
      </c>
      <c r="S3" s="5" t="e">
        <f>2025-#REF!</f>
        <v>#REF!</v>
      </c>
      <c r="T3" s="1" t="s">
        <v>552</v>
      </c>
      <c r="U3" s="1" t="s">
        <v>553</v>
      </c>
      <c r="V3" s="1" t="s">
        <v>554</v>
      </c>
      <c r="W3" s="1" t="s">
        <v>547</v>
      </c>
      <c r="X3" s="9" t="s">
        <v>555</v>
      </c>
      <c r="Y3" s="12">
        <v>2003</v>
      </c>
      <c r="Z3" s="8"/>
      <c r="AA3" s="7" t="s">
        <v>531</v>
      </c>
      <c r="AB3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Nisa Amalia Samad_CONTR</dc:creator>
  <cp:lastModifiedBy>Al Riefqy Dasmito_CONTR</cp:lastModifiedBy>
  <dcterms:created xsi:type="dcterms:W3CDTF">2025-05-29T11:39:55Z</dcterms:created>
  <dcterms:modified xsi:type="dcterms:W3CDTF">2026-06-24T01:27:00Z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0x010100BEA6DE2C73E0DE4FB14DB771A3F88949</vt:lpwstr>
  </property>
</Properties>
</file>